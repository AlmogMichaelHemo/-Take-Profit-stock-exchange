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חוברת_עבודה_זו" defaultThemeVersion="166925"/>
  <mc:AlternateContent xmlns:mc="http://schemas.openxmlformats.org/markup-compatibility/2006">
    <mc:Choice Requires="x15">
      <x15ac:absPath xmlns:x15ac="http://schemas.microsoft.com/office/spreadsheetml/2010/11/ac" url="c:\users\almogi\desktop\indexes_workbooks\"/>
    </mc:Choice>
  </mc:AlternateContent>
  <xr:revisionPtr revIDLastSave="0" documentId="13_ncr:1_{B00EAAAB-2ECE-4739-B8C8-50EB61A8209D}" xr6:coauthVersionLast="47" xr6:coauthVersionMax="47" xr10:uidLastSave="{00000000-0000-0000-0000-000000000000}"/>
  <bookViews>
    <workbookView xWindow="1920" yWindow="1920" windowWidth="17280" windowHeight="8964" xr2:uid="{42EDFD12-7212-4E4D-BBD5-D70ECD7FAD65}"/>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 i="1" l="1" a="1"/>
  <c r="Q2" i="1" s="1"/>
  <c r="Q3" i="1" a="1"/>
  <c r="Q3" i="1" s="1"/>
  <c r="Q4" i="1" a="1"/>
  <c r="Q4" i="1" s="1"/>
  <c r="Q5" i="1" a="1"/>
  <c r="Q5" i="1" s="1"/>
  <c r="Q6" i="1" a="1"/>
  <c r="Q6" i="1" s="1"/>
  <c r="Q7" i="1" a="1"/>
  <c r="Q7" i="1" s="1"/>
  <c r="Q8" i="1" a="1"/>
  <c r="Q8" i="1" s="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P2" i="1" a="1"/>
  <c r="P2" i="1" s="1"/>
  <c r="P3" i="1" a="1"/>
  <c r="P3" i="1" s="1"/>
  <c r="P4" i="1" a="1"/>
  <c r="P4" i="1" s="1"/>
  <c r="P5" i="1" a="1"/>
  <c r="P5" i="1" s="1"/>
  <c r="P6" i="1" a="1"/>
  <c r="P6"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5" i="1" a="1"/>
  <c r="P25" i="1" s="1"/>
  <c r="P26" i="1" a="1"/>
  <c r="P26" i="1" s="1"/>
  <c r="P27" i="1" a="1"/>
  <c r="P27" i="1" s="1"/>
  <c r="P28" i="1" a="1"/>
  <c r="P28" i="1" s="1"/>
  <c r="P29" i="1" a="1"/>
  <c r="P29" i="1" s="1"/>
  <c r="P30" i="1" a="1"/>
  <c r="P30" i="1" s="1"/>
  <c r="P31" i="1" a="1"/>
  <c r="P31" i="1" s="1"/>
  <c r="O2" i="1" a="1"/>
  <c r="O2" i="1" s="1"/>
  <c r="O3" i="1" a="1"/>
  <c r="O3" i="1" s="1"/>
  <c r="O4" i="1" a="1"/>
  <c r="O4" i="1" s="1"/>
  <c r="O5" i="1" a="1"/>
  <c r="O5" i="1" s="1"/>
  <c r="O6" i="1" a="1"/>
  <c r="O6" i="1" s="1"/>
  <c r="O7" i="1" a="1"/>
  <c r="O7" i="1" s="1"/>
  <c r="O8" i="1" a="1"/>
  <c r="O8" i="1" s="1"/>
  <c r="O9" i="1" a="1"/>
  <c r="O9" i="1" s="1"/>
  <c r="O10" i="1" a="1"/>
  <c r="O10" i="1" s="1"/>
  <c r="O11" i="1" a="1"/>
  <c r="O11" i="1" s="1"/>
  <c r="O12" i="1" a="1"/>
  <c r="O12" i="1" s="1"/>
  <c r="O13" i="1" a="1"/>
  <c r="O13" i="1" s="1"/>
  <c r="O14" i="1" a="1"/>
  <c r="O14" i="1" s="1"/>
  <c r="O15" i="1" a="1"/>
  <c r="O15" i="1" s="1"/>
  <c r="O16" i="1" a="1"/>
  <c r="O16" i="1" s="1"/>
  <c r="O17" i="1" a="1"/>
  <c r="O17" i="1" s="1"/>
  <c r="O18" i="1" a="1"/>
  <c r="O18" i="1" s="1"/>
  <c r="O19" i="1" a="1"/>
  <c r="O19" i="1" s="1"/>
  <c r="O20" i="1" a="1"/>
  <c r="O20" i="1" s="1"/>
  <c r="O21" i="1" a="1"/>
  <c r="O21" i="1" s="1"/>
  <c r="O22" i="1" a="1"/>
  <c r="O22" i="1" s="1"/>
  <c r="O23" i="1" a="1"/>
  <c r="O23" i="1" s="1"/>
  <c r="O24" i="1" a="1"/>
  <c r="O24" i="1" s="1"/>
  <c r="O25" i="1" a="1"/>
  <c r="O25" i="1" s="1"/>
  <c r="O26" i="1" a="1"/>
  <c r="O26" i="1" s="1"/>
  <c r="O27" i="1" a="1"/>
  <c r="O27" i="1" s="1"/>
  <c r="O28" i="1" a="1"/>
  <c r="O28" i="1" s="1"/>
  <c r="O29" i="1" a="1"/>
  <c r="O29" i="1" s="1"/>
  <c r="O30" i="1" a="1"/>
  <c r="O30" i="1" s="1"/>
  <c r="O31" i="1" a="1"/>
  <c r="O31" i="1" s="1"/>
  <c r="N2" i="1" a="1"/>
  <c r="N2"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M2" i="1" a="1"/>
  <c r="M2" i="1" s="1"/>
  <c r="M3" i="1" a="1"/>
  <c r="M3" i="1" s="1"/>
  <c r="M4" i="1" a="1"/>
  <c r="M4" i="1" s="1"/>
  <c r="M5" i="1" a="1"/>
  <c r="M5" i="1" s="1"/>
  <c r="M6" i="1" a="1"/>
  <c r="M6" i="1" s="1"/>
  <c r="M7" i="1" a="1"/>
  <c r="M7" i="1" s="1"/>
  <c r="M8" i="1" a="1"/>
  <c r="M8" i="1" s="1"/>
  <c r="M9" i="1" a="1"/>
  <c r="M9" i="1" s="1"/>
  <c r="M10" i="1" a="1"/>
  <c r="M10" i="1" s="1"/>
  <c r="M11" i="1" a="1"/>
  <c r="M11" i="1" s="1"/>
  <c r="M12" i="1" a="1"/>
  <c r="M12" i="1" s="1"/>
  <c r="M13" i="1" a="1"/>
  <c r="M13" i="1" s="1"/>
  <c r="M14" i="1" a="1"/>
  <c r="M14" i="1" s="1"/>
  <c r="M15" i="1" a="1"/>
  <c r="M15" i="1" s="1"/>
  <c r="M16" i="1" a="1"/>
  <c r="M16" i="1" s="1"/>
  <c r="M17" i="1" a="1"/>
  <c r="M17" i="1" s="1"/>
  <c r="M18" i="1" a="1"/>
  <c r="M18" i="1" s="1"/>
  <c r="M19" i="1" a="1"/>
  <c r="M19" i="1" s="1"/>
  <c r="M20" i="1" a="1"/>
  <c r="M20" i="1" s="1"/>
  <c r="M21" i="1" a="1"/>
  <c r="M21" i="1" s="1"/>
  <c r="M22" i="1" a="1"/>
  <c r="M22" i="1" s="1"/>
  <c r="M23" i="1" a="1"/>
  <c r="M23" i="1" s="1"/>
  <c r="M24" i="1" a="1"/>
  <c r="M24" i="1" s="1"/>
  <c r="M25" i="1" a="1"/>
  <c r="M25" i="1" s="1"/>
  <c r="M26" i="1" a="1"/>
  <c r="M26" i="1" s="1"/>
  <c r="M27" i="1" a="1"/>
  <c r="M27" i="1" s="1"/>
  <c r="M28" i="1" a="1"/>
  <c r="M28" i="1" s="1"/>
  <c r="M29" i="1" a="1"/>
  <c r="M29" i="1" s="1"/>
  <c r="M30" i="1" a="1"/>
  <c r="M30" i="1" s="1"/>
  <c r="M31" i="1" a="1"/>
  <c r="M31" i="1" s="1"/>
  <c r="F3" i="1" a="1"/>
  <c r="F3" i="1" s="1"/>
  <c r="F4" i="1" a="1"/>
  <c r="F4" i="1" s="1"/>
  <c r="F5" i="1" a="1"/>
  <c r="F5" i="1" s="1"/>
  <c r="F6" i="1" a="1"/>
  <c r="F6" i="1" s="1"/>
  <c r="F7" i="1" a="1"/>
  <c r="F7" i="1" s="1"/>
  <c r="F8" i="1" a="1"/>
  <c r="F8" i="1" s="1"/>
  <c r="F9" i="1" a="1"/>
  <c r="F9"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31">
    <bk>
      <extLst>
        <ext uri="{3e2802c4-a4d2-4d8b-9148-e3be6c30e623}">
          <xlrd:rvb i="6"/>
        </ext>
      </extLst>
    </bk>
    <bk>
      <extLst>
        <ext uri="{3e2802c4-a4d2-4d8b-9148-e3be6c30e623}">
          <xlrd:rvb i="12"/>
        </ext>
      </extLst>
    </bk>
    <bk>
      <extLst>
        <ext uri="{3e2802c4-a4d2-4d8b-9148-e3be6c30e623}">
          <xlrd:rvb i="18"/>
        </ext>
      </extLst>
    </bk>
    <bk>
      <extLst>
        <ext uri="{3e2802c4-a4d2-4d8b-9148-e3be6c30e623}">
          <xlrd:rvb i="24"/>
        </ext>
      </extLst>
    </bk>
    <bk>
      <extLst>
        <ext uri="{3e2802c4-a4d2-4d8b-9148-e3be6c30e623}">
          <xlrd:rvb i="30"/>
        </ext>
      </extLst>
    </bk>
    <bk>
      <extLst>
        <ext uri="{3e2802c4-a4d2-4d8b-9148-e3be6c30e623}">
          <xlrd:rvb i="36"/>
        </ext>
      </extLst>
    </bk>
    <bk>
      <extLst>
        <ext uri="{3e2802c4-a4d2-4d8b-9148-e3be6c30e623}">
          <xlrd:rvb i="42"/>
        </ext>
      </extLst>
    </bk>
    <bk>
      <extLst>
        <ext uri="{3e2802c4-a4d2-4d8b-9148-e3be6c30e623}">
          <xlrd:rvb i="48"/>
        </ext>
      </extLst>
    </bk>
    <bk>
      <extLst>
        <ext uri="{3e2802c4-a4d2-4d8b-9148-e3be6c30e623}">
          <xlrd:rvb i="54"/>
        </ext>
      </extLst>
    </bk>
    <bk>
      <extLst>
        <ext uri="{3e2802c4-a4d2-4d8b-9148-e3be6c30e623}">
          <xlrd:rvb i="60"/>
        </ext>
      </extLst>
    </bk>
    <bk>
      <extLst>
        <ext uri="{3e2802c4-a4d2-4d8b-9148-e3be6c30e623}">
          <xlrd:rvb i="61"/>
        </ext>
      </extLst>
    </bk>
    <bk>
      <extLst>
        <ext uri="{3e2802c4-a4d2-4d8b-9148-e3be6c30e623}">
          <xlrd:rvb i="67"/>
        </ext>
      </extLst>
    </bk>
    <bk>
      <extLst>
        <ext uri="{3e2802c4-a4d2-4d8b-9148-e3be6c30e623}">
          <xlrd:rvb i="73"/>
        </ext>
      </extLst>
    </bk>
    <bk>
      <extLst>
        <ext uri="{3e2802c4-a4d2-4d8b-9148-e3be6c30e623}">
          <xlrd:rvb i="79"/>
        </ext>
      </extLst>
    </bk>
    <bk>
      <extLst>
        <ext uri="{3e2802c4-a4d2-4d8b-9148-e3be6c30e623}">
          <xlrd:rvb i="85"/>
        </ext>
      </extLst>
    </bk>
    <bk>
      <extLst>
        <ext uri="{3e2802c4-a4d2-4d8b-9148-e3be6c30e623}">
          <xlrd:rvb i="88"/>
        </ext>
      </extLst>
    </bk>
    <bk>
      <extLst>
        <ext uri="{3e2802c4-a4d2-4d8b-9148-e3be6c30e623}">
          <xlrd:rvb i="94"/>
        </ext>
      </extLst>
    </bk>
    <bk>
      <extLst>
        <ext uri="{3e2802c4-a4d2-4d8b-9148-e3be6c30e623}">
          <xlrd:rvb i="100"/>
        </ext>
      </extLst>
    </bk>
    <bk>
      <extLst>
        <ext uri="{3e2802c4-a4d2-4d8b-9148-e3be6c30e623}">
          <xlrd:rvb i="106"/>
        </ext>
      </extLst>
    </bk>
    <bk>
      <extLst>
        <ext uri="{3e2802c4-a4d2-4d8b-9148-e3be6c30e623}">
          <xlrd:rvb i="112"/>
        </ext>
      </extLst>
    </bk>
    <bk>
      <extLst>
        <ext uri="{3e2802c4-a4d2-4d8b-9148-e3be6c30e623}">
          <xlrd:rvb i="118"/>
        </ext>
      </extLst>
    </bk>
    <bk>
      <extLst>
        <ext uri="{3e2802c4-a4d2-4d8b-9148-e3be6c30e623}">
          <xlrd:rvb i="124"/>
        </ext>
      </extLst>
    </bk>
    <bk>
      <extLst>
        <ext uri="{3e2802c4-a4d2-4d8b-9148-e3be6c30e623}">
          <xlrd:rvb i="130"/>
        </ext>
      </extLst>
    </bk>
    <bk>
      <extLst>
        <ext uri="{3e2802c4-a4d2-4d8b-9148-e3be6c30e623}">
          <xlrd:rvb i="137"/>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9"/>
        </ext>
      </extLst>
    </bk>
    <bk>
      <extLst>
        <ext uri="{3e2802c4-a4d2-4d8b-9148-e3be6c30e623}">
          <xlrd:rvb i="165"/>
        </ext>
      </extLst>
    </bk>
    <bk>
      <extLst>
        <ext uri="{3e2802c4-a4d2-4d8b-9148-e3be6c30e623}">
          <xlrd:rvb i="171"/>
        </ext>
      </extLst>
    </bk>
    <bk>
      <extLst>
        <ext uri="{3e2802c4-a4d2-4d8b-9148-e3be6c30e623}">
          <xlrd:rvb i="177"/>
        </ext>
      </extLst>
    </bk>
  </futureMetadata>
  <futureMetadata name="XLDAPR" count="1">
    <bk>
      <extLst>
        <ext uri="{bdbb8cdc-fa1e-496e-a857-3c3f30c029c3}">
          <xda:dynamicArrayProperties fDynamic="1" fCollapsed="0"/>
        </ext>
      </extLst>
    </bk>
  </futureMetadata>
  <cellMetadata count="1">
    <bk>
      <rc t="2" v="0"/>
    </bk>
  </cellMetadata>
  <valueMetadata count="3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valueMetadata>
</metadata>
</file>

<file path=xl/sharedStrings.xml><?xml version="1.0" encoding="utf-8"?>
<sst xmlns="http://schemas.openxmlformats.org/spreadsheetml/2006/main" count="17" uniqueCount="17">
  <si>
    <t>stock</t>
  </si>
  <si>
    <t>name</t>
  </si>
  <si>
    <t>description</t>
  </si>
  <si>
    <t>industry</t>
  </si>
  <si>
    <t>ticker</t>
  </si>
  <si>
    <t>price</t>
  </si>
  <si>
    <t>high</t>
  </si>
  <si>
    <t>low</t>
  </si>
  <si>
    <t>open</t>
  </si>
  <si>
    <t>close</t>
  </si>
  <si>
    <t>market cap</t>
  </si>
  <si>
    <t>change</t>
  </si>
  <si>
    <t>beta</t>
  </si>
  <si>
    <t>volume</t>
  </si>
  <si>
    <t>PE</t>
  </si>
  <si>
    <t>employees</t>
  </si>
  <si>
    <t>exchange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</si>
</sst>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_);_([$$-409]* \(#,##0\);_([$$-409]* &quot;-&quot;_);_(@_)"/>
    <numFmt numFmtId="165" formatCode="_([$$-409]* #,##0.00_);_([$$-409]* \(#,##0.00\);_([$$-409]* &quot;-&quot;??_);_(@_)"/>
  </numFmts>
  <fonts count="1" x14ac:knownFonts="1">
    <font>
      <sz val="11"/>
      <color theme="1"/>
      <name val="Arial"/>
      <family val="2"/>
      <charset val="177"/>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0" fontId="0" fillId="0" borderId="0" xfId="0" applyNumberFormat="1"/>
    <xf numFmtId="165" fontId="0" fillId="0" borderId="0" xfId="0" applyNumberFormat="1"/>
    <xf numFmtId="164" fontId="0" fillId="0" borderId="0" xfId="0" applyNumberFormat="1"/>
    <xf numFmtId="4" fontId="0" fillId="0" borderId="0" xfId="0" applyNumberForma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78">
  <rv s="0">
    <v>http://en.wikipedia.org/wiki/Public_domain</v>
    <v>Public domain</v>
  </rv>
  <rv s="0">
    <v>http://en.wikipedia.org/wiki/3M</v>
    <v>Wikipedia</v>
  </rv>
  <rv s="1">
    <v>0</v>
    <v>1</v>
  </rv>
  <rv s="2">
    <v>6</v>
    <v>https://www.bing.com/th?id=AMMS_32000850961e4a70971cc92b1cc2e7cc&amp;qlt=95</v>
    <v>2</v>
    <v>0</v>
    <v>https://www.bing.com/images/search?form=xlimg&amp;q=3m</v>
    <v>Image of 3M COMPANY</v>
  </rv>
  <rv s="0">
    <v>https://www.bing.com/financeapi/forcetrigger?t=a1xroc&amp;q=XNYS%3aMMM&amp;form=skydnc</v>
    <v>Learn more on Bing</v>
  </rv>
  <rv s="3">
    <v>en-US</v>
    <v>a1xroc</v>
    <v>268435456</v>
    <v>1</v>
    <v>0</v>
    <v>Powered by Refinitiv</v>
    <v>0</v>
    <v>3M COMPANY (XNYS:MMM)</v>
    <v>3</v>
    <v>4</v>
    <v>Finance</v>
    <v>5</v>
    <v>208.95</v>
    <v>148.80000000000001</v>
    <v>0.95409999999999995</v>
    <v>-0.3</v>
    <v>0</v>
    <v>-1.4760000000000001E-3</v>
    <v>0</v>
    <v>USD</v>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v>94987</v>
    <v>New York Stock Exchange</v>
    <v>XNYS</v>
    <v>XNYS</v>
    <v>3M Center, Bldg. 220-13E-26A, SAINT PAUL, MN, 55144-1000 US</v>
    <v>204.3921</v>
    <v>3</v>
    <v>Consumer Goods Conglomerates</v>
    <v>Stock</v>
    <v>44344.950429166405</v>
    <v>4</v>
    <v>202.8</v>
    <v>117697200000</v>
    <v>3M COMPANY</v>
    <v>3M COMPANY</v>
    <v>203.04</v>
    <v>20.607299999999999</v>
    <v>203.24</v>
    <v>202.94</v>
    <v>203.04</v>
    <v>579675000</v>
    <v>MMM</v>
    <v>3M COMPANY (XNYS:MMM)</v>
    <v>1741191</v>
    <v>2171645</v>
    <v>1929</v>
  </rv>
  <rv s="4">
    <v>5</v>
  </rv>
  <rv s="0">
    <v>http://en.wikipedia.org/wiki/American_Express</v>
    <v>Wikipedia</v>
  </rv>
  <rv s="1">
    <v>0</v>
    <v>7</v>
  </rv>
  <rv s="2">
    <v>6</v>
    <v>https://www.bing.com/th?id=AMMS_4b0bb9ecc06de08643063b8d43f8b996&amp;qlt=95</v>
    <v>8</v>
    <v>0</v>
    <v>https://www.bing.com/images/search?form=xlimg&amp;q=american+express</v>
    <v>Image of AMERICAN EXPRESS COMPANY</v>
  </rv>
  <rv s="0">
    <v>https://www.bing.com/financeapi/forcetrigger?t=a1o2lh&amp;q=XNYS%3aAXP&amp;form=skydnc</v>
    <v>Learn more on Bing</v>
  </rv>
  <rv s="3">
    <v>en-US</v>
    <v>a1o2lh</v>
    <v>268435456</v>
    <v>1</v>
    <v>0</v>
    <v>Powered by Refinitiv</v>
    <v>0</v>
    <v>AMERICAN EXPRESS COMPANY (XNYS:AXP)</v>
    <v>3</v>
    <v>4</v>
    <v>Finance</v>
    <v>7</v>
    <v>160.69</v>
    <v>89.11</v>
    <v>1.2897000000000001</v>
    <v>0.39</v>
    <v>4.371E-4</v>
    <v>2.441E-3</v>
    <v>7.0000000000000007E-2</v>
    <v>USD</v>
    <v>American Express Company, together with its subsidiaries, is a global services company. The Company's principal products and services are charge and credit card products, and travel-related services offered to consumers and businesses around the world. The Company's segments include the Global Consumer Services Group (GCSG), Global Merchant and Network Services (GMNS), and Global Commercial Services (GCS). The Company's range of products and services includes network services; merchant acquisition and processing, servicing and settlement, and point-of-sale marketing and information products and services for merchants; other fee services, including fraud prevention services and the design and operation of customer loyalty programs; expense management products and services, and stored value/prepaid products.</v>
    <v>59000</v>
    <v>New York Stock Exchange</v>
    <v>XNYS</v>
    <v>XNYS</v>
    <v>200 Vesey St Fl 50, NEW YORK, NY, 10285-1000 US</v>
    <v>160.63499999999999</v>
    <v>9</v>
    <v>Banking Services</v>
    <v>Stock</v>
    <v>44344.997315532033</v>
    <v>10</v>
    <v>158.86000000000001</v>
    <v>128632900000</v>
    <v>AMERICAN EXPRESS COMPANY</v>
    <v>AMERICAN EXPRESS COMPANY</v>
    <v>160.26</v>
    <v>26.211200000000002</v>
    <v>159.74</v>
    <v>160.13</v>
    <v>160.19999999999999</v>
    <v>803302900</v>
    <v>AXP</v>
    <v>AMERICAN EXPRESS COMPANY (XNYS:AXP)</v>
    <v>2437025</v>
    <v>3019907</v>
    <v>1965</v>
  </rv>
  <rv s="4">
    <v>11</v>
  </rv>
  <rv s="0">
    <v>http://en.wikipedia.org/wiki/Amgen</v>
    <v>Wikipedia</v>
  </rv>
  <rv s="1">
    <v>0</v>
    <v>13</v>
  </rv>
  <rv s="2">
    <v>6</v>
    <v>https://www.bing.com/th?id=AMMS_7651d2e878d4df4bb82a200be2db03e3&amp;qlt=95</v>
    <v>14</v>
    <v>0</v>
    <v>https://www.bing.com/images/search?form=xlimg&amp;q=amgen</v>
    <v>Image of AMGEN INC.</v>
  </rv>
  <rv s="0">
    <v>https://www.bing.com/financeapi/forcetrigger?t=a1nec7&amp;q=XNAS%3aAMGN&amp;form=skydnc</v>
    <v>Learn more on Bing</v>
  </rv>
  <rv s="3">
    <v>en-US</v>
    <v>a1nec7</v>
    <v>268435456</v>
    <v>1</v>
    <v>0</v>
    <v>Powered by Refinitiv</v>
    <v>0</v>
    <v>AMGEN INC. (XNAS:AMGN)</v>
    <v>3</v>
    <v>4</v>
    <v>Finance</v>
    <v>7</v>
    <v>276.69</v>
    <v>210.28</v>
    <v>0.71350000000000002</v>
    <v>2.63</v>
    <v>1.4710000000000001E-3</v>
    <v>1.1176999999999999E-2</v>
    <v>0.35</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24300</v>
    <v>Nasdaq Stock Market</v>
    <v>XNAS</v>
    <v>XNAS</v>
    <v>1 Amgen Center Dr, THOUSAND OAKS, CA, 91320-1799 US</v>
    <v>240.87</v>
    <v>15</v>
    <v>Pharmaceuticals</v>
    <v>Stock</v>
    <v>44344.999668992969</v>
    <v>16</v>
    <v>236.13</v>
    <v>136709400000</v>
    <v>AMGEN INC.</v>
    <v>AMGEN INC.</v>
    <v>236.21</v>
    <v>19.486899999999999</v>
    <v>235.31</v>
    <v>237.94</v>
    <v>238.29</v>
    <v>574554000</v>
    <v>AMGN</v>
    <v>AMGEN INC. (XNAS:AMGN)</v>
    <v>3240387</v>
    <v>3000011</v>
    <v>1986</v>
  </rv>
  <rv s="4">
    <v>17</v>
  </rv>
  <rv s="0">
    <v>http://ja.wikipedia.org/wiki/アップル_(企業)</v>
    <v>Wikipedia</v>
  </rv>
  <rv s="1">
    <v>0</v>
    <v>19</v>
  </rv>
  <rv s="2">
    <v>6</v>
    <v>https://www.bing.com/th?id=AMMS_5bc8393c85a56e6bb6524ea7b3970bad&amp;qlt=95</v>
    <v>20</v>
    <v>0</v>
    <v>https://www.bing.com/images/search?form=xlimg&amp;q=apple+inc</v>
    <v>Image of APPLE INC.</v>
  </rv>
  <rv s="0">
    <v>https://www.bing.com/financeapi/forcetrigger?t=a1mou2&amp;q=XNAS%3aAAPL&amp;form=skydnc</v>
    <v>Learn more on Bing</v>
  </rv>
  <rv s="3">
    <v>en-US</v>
    <v>a1mou2</v>
    <v>268435456</v>
    <v>1</v>
    <v>0</v>
    <v>Powered by Refinitiv</v>
    <v>0</v>
    <v>APPLE INC. (XNAS:AAPL)</v>
    <v>3</v>
    <v>4</v>
    <v>Finance</v>
    <v>7</v>
    <v>145.09</v>
    <v>78.907499999999999</v>
    <v>1.2084999999999999</v>
    <v>-0.67</v>
    <v>0</v>
    <v>-5.3480000000000003E-3</v>
    <v>0</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125.8</v>
    <v>21</v>
    <v>Computers, Phones &amp; Household Electronics</v>
    <v>Stock</v>
    <v>44344.999982036716</v>
    <v>22</v>
    <v>124.55</v>
    <v>2079446000000</v>
    <v>APPLE INC.</v>
    <v>APPLE INC.</v>
    <v>125.57</v>
    <v>28.111999999999998</v>
    <v>125.28</v>
    <v>124.61</v>
    <v>124.61</v>
    <v>16687630000</v>
    <v>AAPL</v>
    <v>APPLE INC. (XNAS:AAPL)</v>
    <v>71311109</v>
    <v>88840087</v>
    <v>1977</v>
  </rv>
  <rv s="4">
    <v>23</v>
  </rv>
  <rv s="0">
    <v>http://en.wikipedia.org/wiki/Boeing</v>
    <v>Wikipedia</v>
  </rv>
  <rv s="1">
    <v>0</v>
    <v>25</v>
  </rv>
  <rv s="2">
    <v>6</v>
    <v>https://www.bing.com/th?id=AMMS_8bd15fa626b3afb85c59bf7000422779&amp;qlt=95</v>
    <v>26</v>
    <v>0</v>
    <v>https://www.bing.com/images/search?form=xlimg&amp;q=boeing</v>
    <v>Image of THE BOEING COMPANY</v>
  </rv>
  <rv s="0">
    <v>https://www.bing.com/financeapi/forcetrigger?t=a1o4ec&amp;q=XNYS%3aBA&amp;form=skydnc</v>
    <v>Learn more on Bing</v>
  </rv>
  <rv s="3">
    <v>en-US</v>
    <v>a1o4ec</v>
    <v>268435456</v>
    <v>1</v>
    <v>0</v>
    <v>Powered by Refinitiv</v>
    <v>0</v>
    <v>THE BOEING COMPANY (XNYS:BA)</v>
    <v>3</v>
    <v>4</v>
    <v>Finance</v>
    <v>7</v>
    <v>278.56709999999998</v>
    <v>141.58000000000001</v>
    <v>1.6286</v>
    <v>-3.68</v>
    <v>1.214E-4</v>
    <v>-1.4678999999999999E-2</v>
    <v>0.03</v>
    <v>USD</v>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v>141000</v>
    <v>New York Stock Exchange</v>
    <v>XNYS</v>
    <v>XNYS</v>
    <v>100 N Riverside Plz, CHICAGO, IL, 60606-1596 US</v>
    <v>248.98</v>
    <v>27</v>
    <v>Aerospace &amp; Defense</v>
    <v>Stock</v>
    <v>44344.999955578125</v>
    <v>28</v>
    <v>245.37</v>
    <v>144459800000</v>
    <v>THE BOEING COMPANY</v>
    <v>THE BOEING COMPANY</v>
    <v>247.47499999999999</v>
    <v>0</v>
    <v>250.7</v>
    <v>247.02</v>
    <v>247.05</v>
    <v>584810100</v>
    <v>BA</v>
    <v>THE BOEING COMPANY (XNYS:BA)</v>
    <v>11197398</v>
    <v>12867963</v>
    <v>1934</v>
  </rv>
  <rv s="4">
    <v>29</v>
  </rv>
  <rv s="0">
    <v>http://en.wikipedia.org/wiki/Caterpillar_Inc.</v>
    <v>Wikipedia</v>
  </rv>
  <rv s="1">
    <v>0</v>
    <v>31</v>
  </rv>
  <rv s="2">
    <v>6</v>
    <v>https://www.bing.com/th?id=AMMS_5f946e09982396613622ebabae1bd253&amp;qlt=95</v>
    <v>32</v>
    <v>0</v>
    <v>https://www.bing.com/images/search?form=xlimg&amp;q=caterpillar+inc.</v>
    <v>Image of CATERPILLAR INC.</v>
  </rv>
  <rv s="0">
    <v>https://www.bing.com/financeapi/forcetrigger?t=a1p7zr&amp;q=XNYS%3aCAT&amp;form=skydnc</v>
    <v>Learn more on Bing</v>
  </rv>
  <rv s="3">
    <v>en-US</v>
    <v>a1p7zr</v>
    <v>268435456</v>
    <v>1</v>
    <v>0</v>
    <v>Powered by Refinitiv</v>
    <v>0</v>
    <v>CATERPILLAR INC. (XNYS:CAT)</v>
    <v>3</v>
    <v>4</v>
    <v>Finance</v>
    <v>7</v>
    <v>245.78</v>
    <v>117.57</v>
    <v>0.91659999999999997</v>
    <v>-0.2</v>
    <v>-2.6959999999999999E-4</v>
    <v>-8.2890000000000004E-4</v>
    <v>-6.5000000000000002E-2</v>
    <v>USD</v>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v>97300</v>
    <v>New York Stock Exchange</v>
    <v>XNYS</v>
    <v>XNYS</v>
    <v>510 Lake Cook Rd Ste 100, DEERFIELD, IL, 60015-4971 US</v>
    <v>242.26</v>
    <v>33</v>
    <v>Machinery, Equipment &amp; Components</v>
    <v>Stock</v>
    <v>44344.990380277341</v>
    <v>34</v>
    <v>238.79</v>
    <v>132060500000</v>
    <v>CATERPILLAR INC.</v>
    <v>CATERPILLAR INC.</v>
    <v>241.91</v>
    <v>39.496699999999997</v>
    <v>241.28</v>
    <v>241.08</v>
    <v>241.01499999999999</v>
    <v>547787200</v>
    <v>CAT</v>
    <v>CATERPILLAR INC. (XNYS:CAT)</v>
    <v>2290920</v>
    <v>3078794</v>
    <v>1986</v>
  </rv>
  <rv s="4">
    <v>35</v>
  </rv>
  <rv s="0">
    <v>http://en.wikipedia.org/wiki/Chevron_Corporation</v>
    <v>Wikipedia</v>
  </rv>
  <rv s="1">
    <v>0</v>
    <v>37</v>
  </rv>
  <rv s="2">
    <v>6</v>
    <v>https://www.bing.com/th?id=AMMS_2d49dc55c1faf81186e7649c0d153e02&amp;qlt=95</v>
    <v>38</v>
    <v>0</v>
    <v>https://www.bing.com/images/search?form=xlimg&amp;q=chevron+corporation</v>
    <v>Image of CHEVRON CORPORATION</v>
  </rv>
  <rv s="0">
    <v>https://www.bing.com/financeapi/forcetrigger?t=a1qlz2&amp;q=XNYS%3aCVX&amp;form=skydnc</v>
    <v>Learn more on Bing</v>
  </rv>
  <rv s="3">
    <v>en-US</v>
    <v>a1qlz2</v>
    <v>268435456</v>
    <v>1</v>
    <v>0</v>
    <v>Powered by Refinitiv</v>
    <v>0</v>
    <v>CHEVRON CORPORATION (XNYS:CVX)</v>
    <v>3</v>
    <v>4</v>
    <v>Finance</v>
    <v>7</v>
    <v>113.11</v>
    <v>65.16</v>
    <v>1.2988</v>
    <v>0.78</v>
    <v>1.4449999999999999E-3</v>
    <v>7.5719999999999997E-3</v>
    <v>0.15</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v>47736</v>
    <v>New York Stock Exchange</v>
    <v>XNYS</v>
    <v>XNYS</v>
    <v>6001 Bollinger Canyon Rd, SAN RAMON, CA, 94583-2324 US</v>
    <v>104.12</v>
    <v>39</v>
    <v>Oil &amp; Gas</v>
    <v>Stock</v>
    <v>44344.99937759219</v>
    <v>40</v>
    <v>102.95</v>
    <v>200113300000</v>
    <v>CHEVRON CORPORATION</v>
    <v>CHEVRON CORPORATION</v>
    <v>103.62</v>
    <v>0</v>
    <v>103.01</v>
    <v>103.79</v>
    <v>103.94</v>
    <v>1928059000</v>
    <v>CVX</v>
    <v>CHEVRON CORPORATION (XNYS:CVX)</v>
    <v>7278515</v>
    <v>10146131</v>
    <v>1926</v>
  </rv>
  <rv s="4">
    <v>41</v>
  </rv>
  <rv s="0">
    <v>http://en.wikipedia.org/wiki/Cisco_Systems</v>
    <v>Wikipedia</v>
  </rv>
  <rv s="1">
    <v>0</v>
    <v>43</v>
  </rv>
  <rv s="2">
    <v>6</v>
    <v>https://www.bing.com/th?id=AMMS_260a2f4e042134ccb72dfe738e09a885&amp;qlt=95</v>
    <v>44</v>
    <v>0</v>
    <v>https://www.bing.com/images/search?form=xlimg&amp;q=cisco+systems</v>
    <v>Image of CISCO SYSTEMS, INC.</v>
  </rv>
  <rv s="0">
    <v>https://www.bing.com/financeapi/forcetrigger?t=a1qe5r&amp;q=XNAS%3aCSCO&amp;form=skydnc</v>
    <v>Learn more on Bing</v>
  </rv>
  <rv s="3">
    <v>en-US</v>
    <v>a1qe5r</v>
    <v>268435456</v>
    <v>1</v>
    <v>0</v>
    <v>Powered by Refinitiv</v>
    <v>0</v>
    <v>CISCO SYSTEMS, INC. (XNAS:CSCO)</v>
    <v>3</v>
    <v>4</v>
    <v>Finance</v>
    <v>7</v>
    <v>54.14</v>
    <v>35.28</v>
    <v>0.8982</v>
    <v>-0.02</v>
    <v>7.561E-4</v>
    <v>-3.7789999999999997E-4</v>
    <v>0.04</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 SAN JOSE, CA, 95134-1706 US</v>
    <v>53.22</v>
    <v>45</v>
    <v>Communications &amp; Networking</v>
    <v>Stock</v>
    <v>44344.999878633593</v>
    <v>46</v>
    <v>52.835000000000001</v>
    <v>222931400000</v>
    <v>CISCO SYSTEMS, INC.</v>
    <v>CISCO SYSTEMS, INC.</v>
    <v>53.18</v>
    <v>21.950600000000001</v>
    <v>52.92</v>
    <v>52.9</v>
    <v>52.94</v>
    <v>4214205000</v>
    <v>CSCO</v>
    <v>CISCO SYSTEMS, INC. (XNAS:CSCO)</v>
    <v>14864346</v>
    <v>21649334</v>
    <v>2021</v>
  </rv>
  <rv s="4">
    <v>47</v>
  </rv>
  <rv s="0">
    <v>http://en.wikipedia.org/wiki/The_Coca-Cola_Company</v>
    <v>Wikipedia</v>
  </rv>
  <rv s="1">
    <v>0</v>
    <v>49</v>
  </rv>
  <rv s="2">
    <v>6</v>
    <v>https://www.bing.com/th?id=AMMS_5c38a19703348515f2ba1542f244f1f6&amp;qlt=95</v>
    <v>50</v>
    <v>0</v>
    <v>https://www.bing.com/images/search?form=xlimg&amp;q=the+coca-cola+company</v>
    <v>Image of THE COCA-COLA COMPANY</v>
  </rv>
  <rv s="0">
    <v>https://www.bing.com/financeapi/forcetrigger?t=a1wljc&amp;q=XNYS%3aKO&amp;form=skydnc</v>
    <v>Learn more on Bing</v>
  </rv>
  <rv s="3">
    <v>en-US</v>
    <v>a1wljc</v>
    <v>268435456</v>
    <v>1</v>
    <v>0</v>
    <v>Powered by Refinitiv</v>
    <v>0</v>
    <v>THE COCA-COLA COMPANY (XNYS:KO)</v>
    <v>3</v>
    <v>4</v>
    <v>Finance</v>
    <v>5</v>
    <v>55.71</v>
    <v>43.51</v>
    <v>0.61470000000000002</v>
    <v>-0.17</v>
    <v>1.266E-3</v>
    <v>-3.0639999999999999E-3</v>
    <v>7.0000000000000007E-2</v>
    <v>USD</v>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v>80300</v>
    <v>New York Stock Exchange</v>
    <v>XNYS</v>
    <v>XNYS</v>
    <v>1 Coca Cola Plz NW, ATLANTA, GA, 30313-2420 US</v>
    <v>55.71</v>
    <v>51</v>
    <v>Beverages</v>
    <v>Stock</v>
    <v>44344.998509443751</v>
    <v>52</v>
    <v>55.2</v>
    <v>238392800000</v>
    <v>THE COCA-COLA COMPANY</v>
    <v>THE COCA-COLA COMPANY</v>
    <v>55.29</v>
    <v>32.834000000000003</v>
    <v>55.49</v>
    <v>55.32</v>
    <v>55.36</v>
    <v>4311681000</v>
    <v>KO</v>
    <v>THE COCA-COLA COMPANY (XNYS:KO)</v>
    <v>17011952</v>
    <v>12735189</v>
    <v>1919</v>
  </rv>
  <rv s="4">
    <v>53</v>
  </rv>
  <rv s="0">
    <v>http://en.wikipedia.org/wiki/Dow_Chemical_Company</v>
    <v>Wikipedia</v>
  </rv>
  <rv s="1">
    <v>0</v>
    <v>55</v>
  </rv>
  <rv s="2">
    <v>6</v>
    <v>https://www.bing.com/th?id=AMMS_5abe15122075d0bd146631d4e21c0a1e&amp;qlt=95</v>
    <v>56</v>
    <v>0</v>
    <v>https://www.bing.com/images/search?form=xlimg&amp;q=dow+chemical+company</v>
    <v>Image of Dow Inc.</v>
  </rv>
  <rv s="0">
    <v>https://www.bing.com/financeapi/forcetrigger?t=bpifbh&amp;q=XNYS%3aDOW&amp;form=skydnc</v>
    <v>Learn more on Bing</v>
  </rv>
  <rv s="5">
    <v>en-US</v>
    <v>bpifbh</v>
    <v>268435456</v>
    <v>1</v>
    <v>0</v>
    <v>Powered by Refinitiv</v>
    <v>8</v>
    <v>Dow Inc. (XNYS:DOW)</v>
    <v>3</v>
    <v>9</v>
    <v>Finance</v>
    <v>7</v>
    <v>71.38</v>
    <v>37.68</v>
    <v>-0.24</v>
    <v>4.3849999999999998E-4</v>
    <v>-3.4949999999999998E-3</v>
    <v>0.03</v>
    <v>USD</v>
    <v>Dow Inc. is a material science company that is combining science and technology to develop solutions. The Company’s portfolio comprised of six global business units, organized into three operating segments: Performance Materials &amp; Coatings, Industrial Intermediates &amp; Infrastructure and Packaging &amp; Specialty Plastics. Its products serve different applications, including coatings, home and personal care, durable goods, adhesives and sealants, and food and specialty packaging. In addition, the Company operates a global commercial and development network that features eight research and development (R&amp;D) centers.</v>
    <v>35700</v>
    <v>New York Stock Exchange</v>
    <v>XNYS</v>
    <v>XNYS</v>
    <v>2211 H H Dow Way, MIDLAND, MI, 48642-4815 US</v>
    <v>69.17</v>
    <v>57</v>
    <v>Chemicals</v>
    <v>Stock</v>
    <v>44344.994035844531</v>
    <v>58</v>
    <v>67.709999999999994</v>
    <v>51109020000</v>
    <v>Dow Inc.</v>
    <v>Dow Inc.</v>
    <v>69.08</v>
    <v>26.167000000000002</v>
    <v>68.66</v>
    <v>68.42</v>
    <v>68.45</v>
    <v>746989400</v>
    <v>DOW</v>
    <v>Dow Inc. (XNYS:DOW)</v>
    <v>3815179</v>
    <v>4895941</v>
    <v>2018</v>
  </rv>
  <rv s="4">
    <v>59</v>
  </rv>
  <rv s="6">
    <v>12</v>
    <v>Beta</v>
    <v>0</v>
  </rv>
  <rv s="0">
    <v>http://en.wikipedia.org/wiki/Goldman_Sachs</v>
    <v>Wikipedia</v>
  </rv>
  <rv s="1">
    <v>0</v>
    <v>62</v>
  </rv>
  <rv s="2">
    <v>6</v>
    <v>https://www.bing.com/th?id=AMMS_2f362d8bafa3276f41a517a3b845586a&amp;qlt=95</v>
    <v>63</v>
    <v>0</v>
    <v>https://www.bing.com/images/search?form=xlimg&amp;q=goldman+sachs</v>
    <v>Image of THE GOLDMAN SACHS GROUP, INC.</v>
  </rv>
  <rv s="0">
    <v>https://www.bing.com/financeapi/forcetrigger?t=a1u7xm&amp;q=XNYS%3aGS&amp;form=skydnc</v>
    <v>Learn more on Bing</v>
  </rv>
  <rv s="3">
    <v>en-US</v>
    <v>a1u7xm</v>
    <v>268435456</v>
    <v>1</v>
    <v>0</v>
    <v>Powered by Refinitiv</v>
    <v>0</v>
    <v>THE GOLDMAN SACHS GROUP, INC. (XNYS:GS)</v>
    <v>3</v>
    <v>4</v>
    <v>Finance</v>
    <v>7</v>
    <v>376.98</v>
    <v>185.52</v>
    <v>1.4943</v>
    <v>1.9</v>
    <v>5.9139999999999996E-4</v>
    <v>5.1329999999999995E-3</v>
    <v>0.22</v>
    <v>USD</v>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v>40300</v>
    <v>New York Stock Exchange</v>
    <v>XNYS</v>
    <v>XNYS</v>
    <v>200 West St, NEW YORK, NY, 10282-2102 US</v>
    <v>373.07</v>
    <v>64</v>
    <v>Investment Banking &amp; Investment Services</v>
    <v>Stock</v>
    <v>44344.999869339845</v>
    <v>65</v>
    <v>368.26</v>
    <v>126398300000</v>
    <v>THE GOLDMAN SACHS GROUP, INC.</v>
    <v>THE GOLDMAN SACHS GROUP, INC.</v>
    <v>372</v>
    <v>9.2039000000000009</v>
    <v>370.12</v>
    <v>372.02</v>
    <v>372.24</v>
    <v>339762200</v>
    <v>GS</v>
    <v>THE GOLDMAN SACHS GROUP, INC. (XNYS:GS)</v>
    <v>2170561</v>
    <v>2618883</v>
    <v>1998</v>
  </rv>
  <rv s="4">
    <v>66</v>
  </rv>
  <rv s="0">
    <v>http://en.wikipedia.org/wiki/The_Home_Depot</v>
    <v>Wikipedia</v>
  </rv>
  <rv s="1">
    <v>0</v>
    <v>68</v>
  </rv>
  <rv s="2">
    <v>6</v>
    <v>https://www.bing.com/th?id=AMMS_420c97329b2ef989466d21a3475da4c5&amp;qlt=95</v>
    <v>69</v>
    <v>0</v>
    <v>https://www.bing.com/images/search?form=xlimg&amp;q=the+home+depot</v>
    <v>Image of THE HOME DEPOT, INC.</v>
  </rv>
  <rv s="0">
    <v>https://www.bing.com/financeapi/forcetrigger?t=a1uj52&amp;q=XNYS%3aHD&amp;form=skydnc</v>
    <v>Learn more on Bing</v>
  </rv>
  <rv s="3">
    <v>en-US</v>
    <v>a1uj52</v>
    <v>268435456</v>
    <v>1</v>
    <v>0</v>
    <v>Powered by Refinitiv</v>
    <v>0</v>
    <v>THE HOME DEPOT, INC. (XNYS:HD)</v>
    <v>3</v>
    <v>4</v>
    <v>Finance</v>
    <v>7</v>
    <v>345.69</v>
    <v>234.31</v>
    <v>1.0489999999999999</v>
    <v>0.14000000000000001</v>
    <v>3.7629999999999999E-4</v>
    <v>4.392E-4</v>
    <v>0.12</v>
    <v>USD</v>
    <v>The Home Depot, Inc. is a home improvement retailer. The Company offers its customers an assortment of building materials, home improvement products, lawn and garden products, and decor products and provide a number of services, including home improvement installation services and tool and equipment rental. It operates approximately 2,291 The Home Depot stores located throughout the United States (U.S.), including the Commonwealth of Puerto Rico and the territories of the U.S. Virgin Islands and Guam; Canada and Mexico. The Company serve two primary customer groups: do-it-yourself (DIY) Customers and Professional Customers (Pros). DIY Customers include home owners who purchase products and complete their own projects and installations. Professional Customers are primarily professional renovators/remodelers, general contractors, handymen, property managers, building service contractors and specialty tradesmen, such as electricians, plumbers and painters.</v>
    <v>504800</v>
    <v>New York Stock Exchange</v>
    <v>XNYS</v>
    <v>XNYS</v>
    <v>2455 Paces Ferry Rd SE, ATLANTA, GA, 30339-6444 US</v>
    <v>321.51</v>
    <v>70</v>
    <v>Specialty Retailers</v>
    <v>Stock</v>
    <v>44344.999884096876</v>
    <v>71</v>
    <v>318.85000000000002</v>
    <v>339083800000</v>
    <v>THE HOME DEPOT, INC.</v>
    <v>THE HOME DEPOT, INC.</v>
    <v>320.37</v>
    <v>23.247499999999999</v>
    <v>318.77</v>
    <v>318.91000000000003</v>
    <v>319.02999999999997</v>
    <v>1063258000</v>
    <v>HD</v>
    <v>THE HOME DEPOT, INC. (XNYS:HD)</v>
    <v>3197218</v>
    <v>3953052</v>
    <v>1978</v>
  </rv>
  <rv s="4">
    <v>72</v>
  </rv>
  <rv s="0">
    <v>http://en.wikipedia.org/wiki/Honeywell</v>
    <v>Wikipedia</v>
  </rv>
  <rv s="1">
    <v>0</v>
    <v>74</v>
  </rv>
  <rv s="2">
    <v>6</v>
    <v>https://www.bing.com/th?id=AMMS_6449da466dbe4d24089aa2e66abcf5cd&amp;qlt=95</v>
    <v>75</v>
    <v>0</v>
    <v>https://www.bing.com/images/search?form=xlimg&amp;q=honeywell</v>
    <v>Image of HONEYWELL INTERNATIONAL INC.</v>
  </rv>
  <rv s="0">
    <v>https://www.bing.com/financeapi/forcetrigger?t=a1ut3m&amp;q=XNAS%3aHON&amp;form=skydnc</v>
    <v>Learn more on Bing</v>
  </rv>
  <rv s="3">
    <v>en-US</v>
    <v>a1ut3m</v>
    <v>268435456</v>
    <v>1</v>
    <v>0</v>
    <v>Powered by Refinitiv</v>
    <v>0</v>
    <v>HONEYWELL INTERNATIONAL INC. (XNAS:HON)</v>
    <v>3</v>
    <v>4</v>
    <v>Finance</v>
    <v>7</v>
    <v>232.65</v>
    <v>137.53</v>
    <v>1.1467000000000001</v>
    <v>-0.36</v>
    <v>2.0790000000000001E-3</v>
    <v>-1.557E-3</v>
    <v>0.48</v>
    <v>USD</v>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v>103000</v>
    <v>Nasdaq Stock Market</v>
    <v>XNAS</v>
    <v>XNAS</v>
    <v>300 S Tryon St, CHARLOTTE, NC, 28202-1040 US</v>
    <v>232.24</v>
    <v>76</v>
    <v>Consumer Goods Conglomerates</v>
    <v>Stock</v>
    <v>44344.976795358591</v>
    <v>77</v>
    <v>230.31</v>
    <v>160379800000</v>
    <v>HONEYWELL INTERNATIONAL INC.</v>
    <v>HONEYWELL INTERNATIONAL INC.</v>
    <v>232</v>
    <v>35.392400000000002</v>
    <v>231.27</v>
    <v>230.91</v>
    <v>231.39</v>
    <v>694555600</v>
    <v>HON</v>
    <v>HONEYWELL INTERNATIONAL INC. (XNAS:HON)</v>
    <v>2529345</v>
    <v>2742877</v>
    <v>1999</v>
  </rv>
  <rv s="4">
    <v>78</v>
  </rv>
  <rv s="0">
    <v>http://en.wikipedia.org/wiki/IBM</v>
    <v>Wikipedia</v>
  </rv>
  <rv s="1">
    <v>0</v>
    <v>80</v>
  </rv>
  <rv s="2">
    <v>6</v>
    <v>https://www.bing.com/th?id=AMMS_41da901be1b295dc42c72dadb9c0f67d&amp;qlt=95</v>
    <v>81</v>
    <v>0</v>
    <v>https://www.bing.com/images/search?form=xlimg&amp;q=ibm</v>
    <v>Image of INTERNATIONAL BUSINESS MACHINES CORPORATION</v>
  </rv>
  <rv s="0">
    <v>https://www.bing.com/financeapi/forcetrigger?t=a1v6nm&amp;q=XNYS%3aIBM&amp;form=skydnc</v>
    <v>Learn more on Bing</v>
  </rv>
  <rv s="3">
    <v>en-US</v>
    <v>a1v6nm</v>
    <v>268435456</v>
    <v>1</v>
    <v>0</v>
    <v>Powered by Refinitiv</v>
    <v>0</v>
    <v>INTERNATIONAL BUSINESS MACHINES CORPORATION (XNYS:IBM)</v>
    <v>3</v>
    <v>4</v>
    <v>Finance</v>
    <v>7</v>
    <v>148.74</v>
    <v>105.92</v>
    <v>1.2250000000000001</v>
    <v>-0.08</v>
    <v>1.7390000000000001E-3</v>
    <v>-5.5630000000000002E-4</v>
    <v>0.25</v>
    <v>USD</v>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v>375300</v>
    <v>New York Stock Exchange</v>
    <v>XNYS</v>
    <v>XNYS</v>
    <v>1 New Orchard Rd, ARMONK, NY, 10504-1722 US</v>
    <v>144.33000000000001</v>
    <v>82</v>
    <v>Software &amp; IT Services</v>
    <v>Stock</v>
    <v>44344.999886503909</v>
    <v>83</v>
    <v>143.48500000000001</v>
    <v>128435000000</v>
    <v>INTERNATIONAL BUSINESS MACHINES CORPORATION</v>
    <v>INTERNATIONAL BUSINESS MACHINES CORPORATION</v>
    <v>144.21</v>
    <v>24.5413</v>
    <v>143.82</v>
    <v>143.74</v>
    <v>143.99</v>
    <v>893522800</v>
    <v>IBM</v>
    <v>INTERNATIONAL BUSINESS MACHINES CORPORATION (XNYS:IBM)</v>
    <v>2534811</v>
    <v>5022867</v>
    <v>1911</v>
  </rv>
  <rv s="4">
    <v>84</v>
  </rv>
  <rv s="0">
    <v>https://www.bing.com/financeapi/forcetrigger?t=a1vmf2&amp;q=XNAS%3aINTC&amp;form=skydnc</v>
    <v>Learn more on Bing</v>
  </rv>
  <rv s="7">
    <v>en-US</v>
    <v>a1vmf2</v>
    <v>268435456</v>
    <v>1</v>
    <v>0</v>
    <v>Powered by Refinitiv</v>
    <v>10</v>
    <v>INTEL CORPORATION (XNAS:INTC)</v>
    <v>11</v>
    <v>12</v>
    <v>Finance</v>
    <v>7</v>
    <v>68.489999999999995</v>
    <v>43.61</v>
    <v>0.60299999999999998</v>
    <v>-0.61</v>
    <v>8.7540000000000003E-4</v>
    <v>-1.0565999999999999E-2</v>
    <v>0.05</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57.65</v>
    <v>Semiconductors &amp; Semiconductor Equipment</v>
    <v>Stock</v>
    <v>44344.999660937501</v>
    <v>86</v>
    <v>56.94</v>
    <v>230650600000</v>
    <v>INTEL CORPORATION</v>
    <v>INTEL CORPORATION</v>
    <v>57.55</v>
    <v>12.9762</v>
    <v>57.73</v>
    <v>57.12</v>
    <v>57.17</v>
    <v>4038000000</v>
    <v>INTC</v>
    <v>INTEL CORPORATION (XNAS:INTC)</v>
    <v>20309599</v>
    <v>28592932</v>
    <v>1989</v>
  </rv>
  <rv s="4">
    <v>87</v>
  </rv>
  <rv s="0">
    <v>http://no.wikipedia.org/wiki/Johnson_&amp;_Johnson</v>
    <v>Wikipedia</v>
  </rv>
  <rv s="1">
    <v>0</v>
    <v>89</v>
  </rv>
  <rv s="2">
    <v>6</v>
    <v>https://www.bing.com/th?id=AMMS_cc2a140c2a89379d71c3fac28b97b863&amp;qlt=95</v>
    <v>90</v>
    <v>0</v>
    <v>https://www.bing.com/images/search?form=xlimg&amp;q=johnson+%26+johnson</v>
    <v>Image of JOHNSON &amp; JOHNSON</v>
  </rv>
  <rv s="0">
    <v>https://www.bing.com/financeapi/forcetrigger?t=a1w8ec&amp;q=XNYS%3aJNJ&amp;form=skydnc</v>
    <v>Learn more on Bing</v>
  </rv>
  <rv s="3">
    <v>en-US</v>
    <v>a1w8ec</v>
    <v>268435456</v>
    <v>1</v>
    <v>0</v>
    <v>Powered by Refinitiv</v>
    <v>0</v>
    <v>JOHNSON &amp; JOHNSON (XNYS:JNJ)</v>
    <v>3</v>
    <v>4</v>
    <v>Finance</v>
    <v>7</v>
    <v>173.65</v>
    <v>133.65</v>
    <v>0.70609999999999995</v>
    <v>0.44</v>
    <v>8.8630000000000002E-4</v>
    <v>2.6059999999999998E-3</v>
    <v>0.15</v>
    <v>USD</v>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baby care, oral care, skin care, over-the-counter pharmaceutical, women's health and wound care markets. The Pharmaceutical segment is focused on five therapeutic areas, including immunology, infectious diseases, neuroscience, oncology, and cardiovascular and metabolic diseases. The Medical Devices segment includes a range of products used in the orthopedic, surgery, cardiovascular, diabetes care and vision care fields. Its research facilities are located in the United States, Belgium, Brazil, Canada, China, France, Germany, India, Israel, Japan, the Netherlands, Singapore, Switzerland and the United Kingdom.</v>
    <v>134500</v>
    <v>New York Stock Exchange</v>
    <v>XNYS</v>
    <v>XNYS</v>
    <v>1 Johnson And Johnson Plz, NEW BRUNSWICK, NJ, 08933-0001 US</v>
    <v>171.005</v>
    <v>91</v>
    <v>Pharmaceuticals</v>
    <v>Stock</v>
    <v>44344.992045207815</v>
    <v>92</v>
    <v>169.17</v>
    <v>445702300000</v>
    <v>JOHNSON &amp; JOHNSON</v>
    <v>JOHNSON &amp; JOHNSON</v>
    <v>169.52</v>
    <v>29.8185</v>
    <v>168.81</v>
    <v>169.25</v>
    <v>169.4</v>
    <v>2633396000</v>
    <v>JNJ</v>
    <v>JOHNSON &amp; JOHNSON (XNYS:JNJ)</v>
    <v>6401011</v>
    <v>6748066</v>
    <v>1887</v>
  </rv>
  <rv s="4">
    <v>93</v>
  </rv>
  <rv s="0">
    <v>http://en.wikipedia.org/wiki/JPMorgan_Chase</v>
    <v>Wikipedia</v>
  </rv>
  <rv s="1">
    <v>0</v>
    <v>95</v>
  </rv>
  <rv s="2">
    <v>6</v>
    <v>https://www.bing.com/th?id=AMMS_06392bb84e5fdc62d2356a2306f4ae1e&amp;qlt=95</v>
    <v>96</v>
    <v>0</v>
    <v>https://www.bing.com/images/search?form=xlimg&amp;q=jpmorgan+chase</v>
    <v>Image of JPMORGAN CHASE &amp; CO.</v>
  </rv>
  <rv s="0">
    <v>https://www.bing.com/financeapi/forcetrigger?t=a1waa2&amp;q=XNYS%3aJPM&amp;form=skydnc</v>
    <v>Learn more on Bing</v>
  </rv>
  <rv s="3">
    <v>en-US</v>
    <v>a1waa2</v>
    <v>268435456</v>
    <v>1</v>
    <v>0</v>
    <v>Powered by Refinitiv</v>
    <v>0</v>
    <v>JPMORGAN CHASE &amp; CO. (XNYS:JPM)</v>
    <v>3</v>
    <v>4</v>
    <v>Finance</v>
    <v>7</v>
    <v>165.7</v>
    <v>90.776399999999995</v>
    <v>1.1918</v>
    <v>-0.11</v>
    <v>-2.4350000000000001E-4</v>
    <v>-6.6930000000000006E-4</v>
    <v>-0.04</v>
    <v>USD</v>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259350</v>
    <v>New York Stock Exchange</v>
    <v>XNYS</v>
    <v>XNYS</v>
    <v>383 Madison Ave, NEW YORK, NY, 10017-3217 US</v>
    <v>164.94</v>
    <v>97</v>
    <v>Banking Services</v>
    <v>Stock</v>
    <v>44344.999204907028</v>
    <v>98</v>
    <v>163.26</v>
    <v>497205900000</v>
    <v>JPMORGAN CHASE &amp; CO.</v>
    <v>JPMORGAN CHASE &amp; CO.</v>
    <v>164.68</v>
    <v>13.0435</v>
    <v>164.35</v>
    <v>164.24</v>
    <v>164.2</v>
    <v>3027313000</v>
    <v>JPM</v>
    <v>JPMORGAN CHASE &amp; CO. (XNYS:JPM)</v>
    <v>10294700</v>
    <v>12398312</v>
    <v>1968</v>
  </rv>
  <rv s="4">
    <v>99</v>
  </rv>
  <rv s="0">
    <v>http://en.wikipedia.org/wiki/McDonald's</v>
    <v>Wikipedia</v>
  </rv>
  <rv s="1">
    <v>0</v>
    <v>101</v>
  </rv>
  <rv s="2">
    <v>6</v>
    <v>https://www.bing.com/th?id=AMMS_7d8255243964a8970376f8dd41121106&amp;qlt=95</v>
    <v>102</v>
    <v>0</v>
    <v>https://www.bing.com/images/search?form=xlimg&amp;q=mcdonald%27s</v>
    <v>Image of MCDONALD'S CORPORATION</v>
  </rv>
  <rv s="0">
    <v>https://www.bing.com/financeapi/forcetrigger?t=a1xdec&amp;q=XNYS%3aMCD&amp;form=skydnc</v>
    <v>Learn more on Bing</v>
  </rv>
  <rv s="3">
    <v>en-US</v>
    <v>a1xdec</v>
    <v>268435456</v>
    <v>1</v>
    <v>0</v>
    <v>Powered by Refinitiv</v>
    <v>0</v>
    <v>MCDONALD'S CORPORATION (XNYS:MCD)</v>
    <v>3</v>
    <v>4</v>
    <v>Finance</v>
    <v>7</v>
    <v>238.18</v>
    <v>178.88</v>
    <v>0.62790000000000001</v>
    <v>0.32</v>
    <v>-1.7100000000000001E-4</v>
    <v>1.3700000000000001E-3</v>
    <v>-0.04</v>
    <v>USD</v>
    <v>McDonald's Corporation (McDonald's) operates and franchises McDonald's restaurants. The Company's restaurants serve a locally relevant menu of food and drinks sold at various price points in over 100 countries. The Company's segments include U.S., International Lead Markets, High Growth Markets, and Foundational Markets and Corporate. The U.S. segment focuses on offering a platform for authentic ingredients that allows customers to customize their sandwiches. Its High Growth Markets segment includes its operations in markets, such as China, Italy, Korea, Poland, Russia, Spain, Switzerland, the Netherlands and related markets. The International Lead markets segment includes the Company's operations in various markets, such as Australia, Canada, France, Germany, the United Kingdom and related markets. The Foundational markets and Corporate segment is engaged in operating restaurants and increasing convenience to customers, including through drive-thru and delivery.</v>
    <v>200000</v>
    <v>New York Stock Exchange</v>
    <v>XNYS</v>
    <v>XNYS</v>
    <v>110 N Carpenter St, CHICAGO, IL, 60607-2104 US</v>
    <v>234.41</v>
    <v>103</v>
    <v>Hotels &amp; Entertainment Services</v>
    <v>Stock</v>
    <v>44344.995354062499</v>
    <v>104</v>
    <v>232.45</v>
    <v>174522700000</v>
    <v>MCDONALD'S CORPORATION</v>
    <v>MCDONALD'S CORPORATION</v>
    <v>234.13</v>
    <v>33.963500000000003</v>
    <v>233.57</v>
    <v>233.89</v>
    <v>233.85</v>
    <v>746174300</v>
    <v>MCD</v>
    <v>MCDONALD'S CORPORATION (XNYS:MCD)</v>
    <v>2853674</v>
    <v>2498045</v>
    <v>1964</v>
  </rv>
  <rv s="4">
    <v>105</v>
  </rv>
  <rv s="0">
    <v>http://it.wikipedia.org/wiki/Merck_&amp;_Co.</v>
    <v>Wikipedia</v>
  </rv>
  <rv s="1">
    <v>0</v>
    <v>107</v>
  </rv>
  <rv s="2">
    <v>6</v>
    <v>https://www.bing.com/th?id=AMMS_efa150b9f273196aee0d1e5e2cca585a&amp;qlt=95</v>
    <v>108</v>
    <v>0</v>
    <v>https://www.bing.com/images/search?form=xlimg&amp;q=merck+%26+co.</v>
    <v>Image of MERCK &amp; CO., INC.</v>
  </rv>
  <rv s="0">
    <v>https://www.bing.com/financeapi/forcetrigger?t=a1xxmw&amp;q=XNYS%3aMRK&amp;form=skydnc</v>
    <v>Learn more on Bing</v>
  </rv>
  <rv s="3">
    <v>en-US</v>
    <v>a1xxmw</v>
    <v>268435456</v>
    <v>1</v>
    <v>0</v>
    <v>Powered by Refinitiv</v>
    <v>0</v>
    <v>MERCK &amp; CO., INC. (XNYS:MRK)</v>
    <v>3</v>
    <v>4</v>
    <v>Finance</v>
    <v>7</v>
    <v>87.8</v>
    <v>71.715000000000003</v>
    <v>0.41320000000000001</v>
    <v>-0.03</v>
    <v>5.2709999999999996E-4</v>
    <v>-3.9520000000000001E-4</v>
    <v>0.04</v>
    <v>USD</v>
    <v>Merck &amp; Co., Inc. is a global healthcare company. The Company offers health solutions through its prescription medicines, vaccines, biologic therapies and animal health products. It operates through four segments: Pharmaceutical, Animal Health, Healthcare Services and Alliances. The Company's Pharmaceutical segment includes human health pharmaceutical and vaccine products marketed either directly by the Company or through joint ventures. Human health pharmaceutical products consist of therapeutic and preventive agents, generally sold by prescription, for the treatment of human disorders. The Company sells its human health pharmaceutical products primarily to drug wholesalers and retailers, hospitals, government agencies and managed healthcare providers, such as health maintenance organizations, pharmacy benefit managers and other institutions. Vaccine products consist of preventive pediatric, adolescent and adult vaccines, primarily administered at physician offices.</v>
    <v>74000</v>
    <v>New York Stock Exchange</v>
    <v>XNYS</v>
    <v>XNYS</v>
    <v>2000 Galloping Hill Rd, KENILWORTH, NJ, 07033-1310 US</v>
    <v>76.400000000000006</v>
    <v>109</v>
    <v>Pharmaceuticals</v>
    <v>Stock</v>
    <v>44344.999909328122</v>
    <v>110</v>
    <v>75.8</v>
    <v>192157900000</v>
    <v>MERCK &amp; CO., INC.</v>
    <v>MERCK &amp; CO., INC.</v>
    <v>76.02</v>
    <v>27.4481</v>
    <v>75.92</v>
    <v>75.89</v>
    <v>75.930000000000007</v>
    <v>2532058000</v>
    <v>MRK</v>
    <v>MERCK &amp; CO., INC. (XNYS:MRK)</v>
    <v>13332926</v>
    <v>11622161</v>
    <v>1970</v>
  </rv>
  <rv s="4">
    <v>111</v>
  </rv>
  <rv s="0">
    <v>https://en.wikipedia.org/wiki/Microsoft</v>
    <v>Wikipedia</v>
  </rv>
  <rv s="1">
    <v>0</v>
    <v>113</v>
  </rv>
  <rv s="2">
    <v>6</v>
    <v>https://www.bing.com/th?id=AMMS_1435b697418eae5bfbed034f46c28dc4&amp;qlt=95</v>
    <v>114</v>
    <v>0</v>
    <v>https://www.bing.com/images/search?form=xlimg&amp;q=microsoft</v>
    <v>Image of MICROSOFT CORPORATION</v>
  </rv>
  <rv s="0">
    <v>https://www.bing.com/financeapi/forcetrigger?t=a1xzim&amp;q=XNAS%3aMSFT&amp;form=skydnc</v>
    <v>Learn more on Bing</v>
  </rv>
  <rv s="3">
    <v>en-US</v>
    <v>a1xzim</v>
    <v>268435456</v>
    <v>1</v>
    <v>0</v>
    <v>Powered by Refinitiv</v>
    <v>0</v>
    <v>MICROSOFT CORPORATION (XNAS:MSFT)</v>
    <v>3</v>
    <v>4</v>
    <v>Finance</v>
    <v>7</v>
    <v>263.19</v>
    <v>180.38</v>
    <v>0.78939999999999999</v>
    <v>0.37</v>
    <v>6.0079999999999997E-4</v>
    <v>1.4840000000000001E-3</v>
    <v>0.15</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252.08</v>
    <v>115</v>
    <v>Software &amp; IT Services</v>
    <v>Stock</v>
    <v>44344.999833390626</v>
    <v>116</v>
    <v>249.56</v>
    <v>1880484000000</v>
    <v>MICROSOFT CORPORATION</v>
    <v>MICROSOFT CORPORATION</v>
    <v>250.995</v>
    <v>33.929600000000001</v>
    <v>249.31</v>
    <v>249.68</v>
    <v>249.83</v>
    <v>7531575000</v>
    <v>MSFT</v>
    <v>MICROSOFT CORPORATION (XNAS:MSFT)</v>
    <v>18274942</v>
    <v>26701147</v>
    <v>1993</v>
  </rv>
  <rv s="4">
    <v>117</v>
  </rv>
  <rv s="0">
    <v>http://en.wikipedia.org/wiki/Nike,_Inc.</v>
    <v>Wikipedia</v>
  </rv>
  <rv s="1">
    <v>0</v>
    <v>119</v>
  </rv>
  <rv s="2">
    <v>6</v>
    <v>https://www.bing.com/th?id=AMMS_c80a0742f96c703ccb2c230701098a7d&amp;qlt=95</v>
    <v>120</v>
    <v>0</v>
    <v>https://www.bing.com/images/search?form=xlimg&amp;q=nike+inc</v>
    <v>Image of NIKE, INC.</v>
  </rv>
  <rv s="0">
    <v>https://www.bing.com/financeapi/forcetrigger?t=a1yjxm&amp;q=XNYS%3aNKE&amp;form=skydnc</v>
    <v>Learn more on Bing</v>
  </rv>
  <rv s="3">
    <v>en-US</v>
    <v>a1yjxm</v>
    <v>268435456</v>
    <v>1</v>
    <v>0</v>
    <v>Powered by Refinitiv</v>
    <v>0</v>
    <v>NIKE, INC. (XNYS:NKE)</v>
    <v>3</v>
    <v>4</v>
    <v>Finance</v>
    <v>5</v>
    <v>147.94999999999999</v>
    <v>93.44</v>
    <v>0.85419999999999996</v>
    <v>0.57499999999999996</v>
    <v>6.5949999999999993E-4</v>
    <v>4.2189999999999997E-3</v>
    <v>0.09</v>
    <v>USD</v>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v>75400</v>
    <v>New York Stock Exchange</v>
    <v>XNYS</v>
    <v>XNYS</v>
    <v>1 SW Bowerman Dr, BEAVERTON, OR, 97005-6453 US</v>
    <v>137.35499999999999</v>
    <v>121</v>
    <v>Textiles &amp; Apparel</v>
    <v>Stock</v>
    <v>44344.996409988278</v>
    <v>122</v>
    <v>136.09</v>
    <v>215602300000</v>
    <v>NIKE, INC.</v>
    <v>NIKE, INC.</v>
    <v>136.46</v>
    <v>63.366199999999999</v>
    <v>136.285</v>
    <v>136.86000000000001</v>
    <v>136.55000000000001</v>
    <v>1579967000</v>
    <v>NKE</v>
    <v>NIKE, INC. (XNYS:NKE)</v>
    <v>4154634</v>
    <v>6479638</v>
    <v>1969</v>
  </rv>
  <rv s="4">
    <v>123</v>
  </rv>
  <rv s="0">
    <v>http://zh.wikipedia.org/wiki/宝洁</v>
    <v>Wikipedia</v>
  </rv>
  <rv s="1">
    <v>0</v>
    <v>125</v>
  </rv>
  <rv s="2">
    <v>6</v>
    <v>https://www.bing.com/th?id=AMMS_cc4a03e64239b604b8c556018d54c518&amp;qlt=95</v>
    <v>126</v>
    <v>0</v>
    <v>https://www.bing.com/images/search?form=xlimg&amp;q=procter+%26+gamble</v>
    <v>Image of THE PROCTER &amp; GAMBLE COMPANY</v>
  </rv>
  <rv s="0">
    <v>https://www.bing.com/financeapi/forcetrigger?t=a1zsjc&amp;q=XNYS%3aPG&amp;form=skydnc</v>
    <v>Learn more on Bing</v>
  </rv>
  <rv s="3">
    <v>en-US</v>
    <v>a1zsjc</v>
    <v>268435456</v>
    <v>1</v>
    <v>0</v>
    <v>Powered by Refinitiv</v>
    <v>0</v>
    <v>THE PROCTER &amp; GAMBLE COMPANY (XNYS:PG)</v>
    <v>3</v>
    <v>4</v>
    <v>Finance</v>
    <v>7</v>
    <v>146.91999999999999</v>
    <v>113.76</v>
    <v>0.4123</v>
    <v>-0.13</v>
    <v>3.7080000000000001E-4</v>
    <v>-9.6310000000000005E-4</v>
    <v>0.05</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v>99000</v>
    <v>New York Stock Exchange</v>
    <v>XNYS</v>
    <v>XNYS</v>
    <v>1 Procter and Gamble Plz, CINCINNATI, OH, 45202-3315 US</v>
    <v>136.13</v>
    <v>127</v>
    <v>Personal &amp; Household Products &amp; Services</v>
    <v>Stock</v>
    <v>44344.999658506247</v>
    <v>128</v>
    <v>134.63999999999999</v>
    <v>330144200000</v>
    <v>THE PROCTER &amp; GAMBLE COMPANY</v>
    <v>THE PROCTER &amp; GAMBLE COMPANY</v>
    <v>135.15</v>
    <v>24.827999999999999</v>
    <v>134.97999999999999</v>
    <v>134.85</v>
    <v>134.9</v>
    <v>2448233000</v>
    <v>PG</v>
    <v>THE PROCTER &amp; GAMBLE COMPANY (XNYS:PG)</v>
    <v>10477732</v>
    <v>9385930</v>
    <v>1905</v>
  </rv>
  <rv s="4">
    <v>129</v>
  </rv>
  <rv s="0">
    <v>https://creativecommons.org/licenses/by-sa/2.0</v>
    <v>CC BY-SA 2.0</v>
  </rv>
  <rv s="0">
    <v>http://ja.wikipedia.org/wiki/セールスフォース・ドットコム</v>
    <v>Wikipedia</v>
  </rv>
  <rv s="1">
    <v>131</v>
    <v>132</v>
  </rv>
  <rv s="2">
    <v>6</v>
    <v>https://www.bing.com/th?id=AMMS_7b31dbfbe0add0c745a7820bc4071797&amp;qlt=95</v>
    <v>133</v>
    <v>0</v>
    <v>https://www.bing.com/images/search?form=xlimg&amp;q=salesforce+com</v>
    <v>Image of SALESFORCE.COM, INC.</v>
  </rv>
  <rv s="0">
    <v>https://www.bing.com/financeapi/forcetrigger?t=a1qc1h&amp;q=XNYS%3aCRM&amp;form=skydnc</v>
    <v>Learn more on Bing</v>
  </rv>
  <rv s="3">
    <v>en-US</v>
    <v>a1qc1h</v>
    <v>268435456</v>
    <v>1</v>
    <v>0</v>
    <v>Powered by Refinitiv</v>
    <v>0</v>
    <v>SALESFORCE.COM, INC. (XNYS:CRM)</v>
    <v>3</v>
    <v>4</v>
    <v>Finance</v>
    <v>7</v>
    <v>284.5</v>
    <v>167</v>
    <v>1.0922000000000001</v>
    <v>12.27</v>
    <v>-2.5200000000000001E-3</v>
    <v>5.4332999999999999E-2</v>
    <v>-0.6</v>
    <v>USD</v>
    <v>Salesforce.com, Inc. is a provider of enterprise software, delivered through the cloud, with a focus on customer relationship management (CRM). The Company focuses on cloud, mobile, social, Internet of Things (IoT) and artificial intelligence technologies. The Company's service offerings are configured and integrated with other platforms and enterprise applications. The Company delivers its service offerings via Internet browsers and on mobile devices. Its Customer Success Platform is a portfolio of service offerings providing sales force automation, customer service and support, marketing automation, digital commerce, community management, analytics, application development, IoT integration, collaborative productivity tools and its professional cloud services. Its cloud service offerings include Sales Cloud, Service Cloud, Marketing Cloud, Commerce Cloud, Community Cloud, Analytics Cloud, Salesforce Quip and Salesforce Platform.</v>
    <v>56606</v>
    <v>New York Stock Exchange</v>
    <v>XNYS</v>
    <v>XNYS</v>
    <v>415 Mission St Fl 3, SAN FRANCISCO, CA, 94105-2533 US</v>
    <v>243.5</v>
    <v>134</v>
    <v>Software &amp; IT Services</v>
    <v>Stock</v>
    <v>44344.999820635938</v>
    <v>135</v>
    <v>237.83</v>
    <v>219583600000</v>
    <v>SALESFORCE.COM, INC.</v>
    <v>SALESFORCE.COM, INC.</v>
    <v>239.22</v>
    <v>46.998100000000001</v>
    <v>225.83</v>
    <v>238.1</v>
    <v>237.5</v>
    <v>922232700</v>
    <v>CRM</v>
    <v>SALESFORCE.COM, INC. (XNYS:CRM)</v>
    <v>17814520</v>
    <v>5596474</v>
    <v>1999</v>
  </rv>
  <rv s="4">
    <v>136</v>
  </rv>
  <rv s="0">
    <v>http://creativecommons.org/licenses/by-sa/3.0/</v>
    <v>CC-BY-SA-3.0</v>
  </rv>
  <rv s="0">
    <v>http://tr.wikipedia.org/wiki/The_Travelers_Companies</v>
    <v>Wikipedia</v>
  </rv>
  <rv s="1">
    <v>138</v>
    <v>139</v>
  </rv>
  <rv s="2">
    <v>6</v>
    <v>https://www.bing.com/th?id=AMMS_8fe72c47eb9577851e2dcfe51b3f70eb&amp;qlt=95</v>
    <v>140</v>
    <v>0</v>
    <v>https://www.bing.com/images/search?form=xlimg&amp;q=travelers+insurance</v>
    <v>Image of The Travelers Companies, Inc.</v>
  </rv>
  <rv s="0">
    <v>https://www.bing.com/financeapi/forcetrigger?t=a24j8m&amp;q=XNYS%3aTRV&amp;form=skydnc</v>
    <v>Learn more on Bing</v>
  </rv>
  <rv s="3">
    <v>en-US</v>
    <v>a24j8m</v>
    <v>268435456</v>
    <v>1</v>
    <v>0</v>
    <v>Powered by Refinitiv</v>
    <v>0</v>
    <v>The Travelers Companies, Inc. (XNYS:TRV)</v>
    <v>3</v>
    <v>4</v>
    <v>Finance</v>
    <v>7</v>
    <v>162.71</v>
    <v>105.42</v>
    <v>0.75429999999999997</v>
    <v>0.35</v>
    <v>6.2619999999999993E-4</v>
    <v>2.196E-3</v>
    <v>0.1</v>
    <v>USD</v>
    <v>The Travelers Companies, Inc. is a holding company. The Company's segments include Business and International Insurance; Bond &amp; Specialty Insurance, and Personal Insurance. Through its subsidiaries, it provides commercial and personal property and casualty insurance products and services. The Business and International Insurance segment offers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a range of primarily domestic customers, utilizing various degrees of financially-based underwriting approaches. The Personal Insurance segment writes a range of property and casualty insurance covering individuals' personal risks.</v>
    <v>30600</v>
    <v>New York Stock Exchange</v>
    <v>XNYS</v>
    <v>XNYS</v>
    <v>385 WASHINGTON ST, SAINT PAUL, MN, 55102-1309 US</v>
    <v>160.4</v>
    <v>141</v>
    <v>Insurance</v>
    <v>Stock</v>
    <v>44344.958333344533</v>
    <v>142</v>
    <v>158.96</v>
    <v>40159000000</v>
    <v>The Travelers Companies, Inc.</v>
    <v>The Travelers Companies, Inc.</v>
    <v>160.4</v>
    <v>14.446199999999999</v>
    <v>159.35</v>
    <v>159.69999999999999</v>
    <v>159.80000000000001</v>
    <v>251465300</v>
    <v>TRV</v>
    <v>The Travelers Companies, Inc. (XNYS:TRV)</v>
    <v>963346</v>
    <v>1188417</v>
    <v>1853</v>
  </rv>
  <rv s="4">
    <v>143</v>
  </rv>
  <rv s="0">
    <v>https://www.bing.com/financeapi/forcetrigger?t=a24xlh&amp;q=XNYS%3aUNH&amp;form=skydnc</v>
    <v>Learn more on Bing</v>
  </rv>
  <rv s="7">
    <v>en-US</v>
    <v>a24xlh</v>
    <v>268435456</v>
    <v>1</v>
    <v>0</v>
    <v>Powered by Refinitiv</v>
    <v>10</v>
    <v>UNITEDHEALTH GROUP INCORPORATED (XNYS:UNH)</v>
    <v>11</v>
    <v>12</v>
    <v>Finance</v>
    <v>7</v>
    <v>425.98</v>
    <v>273.70999999999998</v>
    <v>0.77569999999999995</v>
    <v>-0.78</v>
    <v>1.359E-3</v>
    <v>-1.89E-3</v>
    <v>0.56000000000000005</v>
    <v>USD</v>
    <v>UnitedHealth Group Incorporated is a health and well-being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benefits to an array of customers and markets, and includes UnitedHealthcare Employer &amp; Individual, UnitedHealthcare Medicare &amp; Retirement, UnitedHealthcare Community &amp; State, and UnitedHealthcare Global businesses. Optum is a health services business serving the healthcare marketplace, including payers, care providers, employers, governments, life sciences companies and consumers, through its OptumHealth, OptumInsight and OptumRx businesses. OptumInsight provides services, technology and healthcare solutions to participants in the healthcare industry. OptumRx provides retail network contracting, purchasing and clinical solutions.</v>
    <v>330000</v>
    <v>New York Stock Exchange</v>
    <v>XNYS</v>
    <v>XNYS</v>
    <v>9900 Bren Rd E, HOPKINS, MN, 55343-9664 US</v>
    <v>415.47</v>
    <v>Healthcare Providers &amp; Services</v>
    <v>Stock</v>
    <v>44344.990056758594</v>
    <v>145</v>
    <v>410.02</v>
    <v>388729800000</v>
    <v>UNITEDHEALTH GROUP INCORPORATED</v>
    <v>UNITEDHEALTH GROUP INCORPORATED</v>
    <v>412.7</v>
    <v>23.458100000000002</v>
    <v>412.7</v>
    <v>411.92</v>
    <v>412.48</v>
    <v>943702100</v>
    <v>UNH</v>
    <v>UNITEDHEALTH GROUP INCORPORATED (XNYS:UNH)</v>
    <v>2368025</v>
    <v>2402035</v>
    <v>2015</v>
  </rv>
  <rv s="4">
    <v>146</v>
  </rv>
  <rv s="0">
    <v>http://en.wikipedia.org/wiki/Verizon_Communications</v>
    <v>Wikipedia</v>
  </rv>
  <rv s="1">
    <v>0</v>
    <v>148</v>
  </rv>
  <rv s="2">
    <v>6</v>
    <v>https://www.bing.com/th?id=AMMS_efb83e572c5e412d09976efd475336f4&amp;qlt=95</v>
    <v>149</v>
    <v>0</v>
    <v>https://www.bing.com/images/search?form=xlimg&amp;q=verizon+communications</v>
    <v>Image of VERIZON COMMUNICATIONS INC.</v>
  </rv>
  <rv s="0">
    <v>https://www.bing.com/financeapi/forcetrigger?t=a25obh&amp;q=XNYS%3aVZ&amp;form=skydnc</v>
    <v>Learn more on Bing</v>
  </rv>
  <rv s="3">
    <v>en-US</v>
    <v>a25obh</v>
    <v>268435456</v>
    <v>1</v>
    <v>0</v>
    <v>Powered by Refinitiv</v>
    <v>0</v>
    <v>VERIZON COMMUNICATIONS INC. (XNYS:VZ)</v>
    <v>3</v>
    <v>4</v>
    <v>Finance</v>
    <v>7</v>
    <v>61.95</v>
    <v>52.85</v>
    <v>0.44979999999999998</v>
    <v>0.2</v>
    <v>1.7699999999999999E-4</v>
    <v>3.5530000000000002E-3</v>
    <v>0.01</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v>135500</v>
    <v>New York Stock Exchange</v>
    <v>XNYS</v>
    <v>XNYS</v>
    <v>1095 Avenue of the Americas, NEW YORK, NY, 10036-6797 US</v>
    <v>56.64</v>
    <v>150</v>
    <v>Telecommunications Services</v>
    <v>Stock</v>
    <v>44344.999780682811</v>
    <v>151</v>
    <v>56.29</v>
    <v>233872400000</v>
    <v>VERIZON COMMUNICATIONS INC.</v>
    <v>VERIZON COMMUNICATIONS INC.</v>
    <v>56.35</v>
    <v>12.342599999999999</v>
    <v>56.29</v>
    <v>56.49</v>
    <v>56.5</v>
    <v>4140068000</v>
    <v>VZ</v>
    <v>VERIZON COMMUNICATIONS INC. (XNYS:VZ)</v>
    <v>14027803</v>
    <v>18086772</v>
    <v>1983</v>
  </rv>
  <rv s="4">
    <v>152</v>
  </rv>
  <rv s="0">
    <v>http://en.wikipedia.org/wiki/Visa_Inc.</v>
    <v>Wikipedia</v>
  </rv>
  <rv s="1">
    <v>0</v>
    <v>154</v>
  </rv>
  <rv s="2">
    <v>6</v>
    <v>https://www.bing.com/th?id=AMMS_31255cb0b4dcc5403ca8e05d252a056c&amp;qlt=95</v>
    <v>155</v>
    <v>0</v>
    <v>https://www.bing.com/images/search?form=xlimg&amp;q=visa</v>
    <v>Image of VISA INC.</v>
  </rv>
  <rv s="0">
    <v>https://www.bing.com/financeapi/forcetrigger?t=a256cw&amp;q=XNYS%3aV&amp;form=skydnc</v>
    <v>Learn more on Bing</v>
  </rv>
  <rv s="3">
    <v>en-US</v>
    <v>a256cw</v>
    <v>268435456</v>
    <v>1</v>
    <v>0</v>
    <v>Powered by Refinitiv</v>
    <v>0</v>
    <v>VISA INC. (XNYS:V)</v>
    <v>3</v>
    <v>4</v>
    <v>Finance</v>
    <v>7</v>
    <v>237.5</v>
    <v>179.23</v>
    <v>0.99650000000000005</v>
    <v>0.44</v>
    <v>8.7989999999999997E-4</v>
    <v>1.9400000000000001E-3</v>
    <v>0.2</v>
    <v>USD</v>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v>20500</v>
    <v>New York Stock Exchange</v>
    <v>XNYS</v>
    <v>XNYS</v>
    <v>Po Box 8999, SAN FRANCISCO, CA, 94128-8999 US</v>
    <v>229.43</v>
    <v>156</v>
    <v>Software &amp; IT Services</v>
    <v>Stock</v>
    <v>44344.999654258594</v>
    <v>157</v>
    <v>227.148</v>
    <v>484783900000</v>
    <v>VISA INC.</v>
    <v>VISA INC.</v>
    <v>227.59</v>
    <v>52.225299999999997</v>
    <v>226.86</v>
    <v>227.3</v>
    <v>227.5</v>
    <v>2132793000</v>
    <v>V</v>
    <v>VISA INC. (XNYS:V)</v>
    <v>5782053</v>
    <v>6675548</v>
    <v>2007</v>
  </rv>
  <rv s="4">
    <v>158</v>
  </rv>
  <rv s="0">
    <v>http://en.wikipedia.org/wiki/Walgreens_Boots_Alliance</v>
    <v>Wikipedia</v>
  </rv>
  <rv s="1">
    <v>0</v>
    <v>160</v>
  </rv>
  <rv s="2">
    <v>6</v>
    <v>https://www.bing.com/th?id=AMMS_fd94c9943d0e1b79227b540b2fe46245&amp;qlt=95</v>
    <v>161</v>
    <v>0</v>
    <v>https://www.bing.com/images/search?form=xlimg&amp;q=walgreens+boots+alliance</v>
    <v>Image of WALGREENS BOOTS ALLIANCE, INC.</v>
  </rv>
  <rv s="0">
    <v>https://www.bing.com/financeapi/forcetrigger?t=a25pm7&amp;q=XNAS%3aWBA&amp;form=skydnc</v>
    <v>Learn more on Bing</v>
  </rv>
  <rv s="3">
    <v>en-US</v>
    <v>a25pm7</v>
    <v>268435456</v>
    <v>1</v>
    <v>0</v>
    <v>Powered by Refinitiv</v>
    <v>0</v>
    <v>WALGREENS BOOTS ALLIANCE, INC. (XNAS:WBA)</v>
    <v>3</v>
    <v>4</v>
    <v>Finance</v>
    <v>7</v>
    <v>57.05</v>
    <v>33.36</v>
    <v>0.45610000000000001</v>
    <v>-0.38</v>
    <v>7.5960000000000003E-4</v>
    <v>-7.1640000000000002E-3</v>
    <v>0.04</v>
    <v>USD</v>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v>223000</v>
    <v>Nasdaq Stock Market</v>
    <v>XNAS</v>
    <v>XNAS</v>
    <v>108 Wilmot Rd, DEERFIELD, IL, 60015-5145 US</v>
    <v>53.71</v>
    <v>162</v>
    <v>Food &amp; Drug Retailing</v>
    <v>Stock</v>
    <v>44344.996993437497</v>
    <v>163</v>
    <v>52.58</v>
    <v>45519010000</v>
    <v>WALGREENS BOOTS ALLIANCE, INC.</v>
    <v>WALGREENS BOOTS ALLIANCE, INC.</v>
    <v>53.31</v>
    <v>87.096400000000003</v>
    <v>53.04</v>
    <v>52.66</v>
    <v>52.7</v>
    <v>864394400</v>
    <v>WBA</v>
    <v>WALGREENS BOOTS ALLIANCE, INC. (XNAS:WBA)</v>
    <v>4553475</v>
    <v>5096489</v>
    <v>2014</v>
  </rv>
  <rv s="4">
    <v>164</v>
  </rv>
  <rv s="0">
    <v>http://en.wikipedia.org/wiki/Walmart</v>
    <v>Wikipedia</v>
  </rv>
  <rv s="1">
    <v>0</v>
    <v>166</v>
  </rv>
  <rv s="2">
    <v>6</v>
    <v>https://www.bing.com/th?id=AMMS_bda71e2736b0e1c236099c12cbe43c51&amp;qlt=95</v>
    <v>167</v>
    <v>0</v>
    <v>https://www.bing.com/images/search?form=xlimg&amp;q=walmart</v>
    <v>Image of WALMART INC.</v>
  </rv>
  <rv s="0">
    <v>https://www.bing.com/financeapi/forcetrigger?t=a25ya2&amp;q=XNYS%3aWMT&amp;form=skydnc</v>
    <v>Learn more on Bing</v>
  </rv>
  <rv s="3">
    <v>en-US</v>
    <v>a25ya2</v>
    <v>268435456</v>
    <v>1</v>
    <v>0</v>
    <v>Powered by Refinitiv</v>
    <v>0</v>
    <v>WALMART INC. (XNYS:WMT)</v>
    <v>3</v>
    <v>4</v>
    <v>Finance</v>
    <v>5</v>
    <v>153.65969999999999</v>
    <v>117.01</v>
    <v>0.47420000000000001</v>
    <v>0.35</v>
    <v>-3.8719999999999998E-4</v>
    <v>2.47E-3</v>
    <v>-5.5E-2</v>
    <v>USD</v>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v>2300000</v>
    <v>New York Stock Exchange</v>
    <v>XNYS</v>
    <v>XNYS</v>
    <v>702 SW 8th St, BENTONVILLE, AR, 72716-6209 US</v>
    <v>142.44999999999999</v>
    <v>168</v>
    <v>Food &amp; Drug Retailing</v>
    <v>Stock</v>
    <v>44344.985538784378</v>
    <v>169</v>
    <v>141.63999999999999</v>
    <v>399598800000</v>
    <v>WALMART INC.</v>
    <v>WALMART INC.</v>
    <v>142.03</v>
    <v>32.950600000000001</v>
    <v>141.69</v>
    <v>142.04</v>
    <v>141.97499999999999</v>
    <v>2813482000</v>
    <v>WMT</v>
    <v>WALMART INC. (XNYS:WMT)</v>
    <v>7063303</v>
    <v>7775291</v>
    <v>1969</v>
  </rv>
  <rv s="4">
    <v>170</v>
  </rv>
  <rv s="0">
    <v>http://en.wikipedia.org/wiki/The_Walt_Disney_Company</v>
    <v>Wikipedia</v>
  </rv>
  <rv s="1">
    <v>0</v>
    <v>172</v>
  </rv>
  <rv s="2">
    <v>6</v>
    <v>https://www.bing.com/th?id=AMMS_0aa288ba528f6f45e3de87d97e250136&amp;qlt=95</v>
    <v>173</v>
    <v>0</v>
    <v>https://www.bing.com/images/search?form=xlimg&amp;q=the+walt+disney+company</v>
    <v>Image of THE WALT DISNEY COMPANY</v>
  </rv>
  <rv s="0">
    <v>https://www.bing.com/financeapi/forcetrigger?t=a1r2z2&amp;q=XNYS%3aDIS&amp;form=skydnc</v>
    <v>Learn more on Bing</v>
  </rv>
  <rv s="3">
    <v>en-US</v>
    <v>a1r2z2</v>
    <v>268435456</v>
    <v>1</v>
    <v>0</v>
    <v>Powered by Refinitiv</v>
    <v>0</v>
    <v>THE WALT DISNEY COMPANY (XNYS:DIS)</v>
    <v>3</v>
    <v>4</v>
    <v>Finance</v>
    <v>7</v>
    <v>203.02</v>
    <v>108.02209999999999</v>
    <v>1.1962999999999999</v>
    <v>-0.39</v>
    <v>7.2769999999999996E-4</v>
    <v>-2.1779999999999998E-3</v>
    <v>0.13</v>
    <v>USD</v>
    <v>The Walt Disney Company, formerly TWDC Holdco 613 Corp, is a worldwide entertainment company. The Company operates in four business segments: Media Networks, Parks Experiences and Products, Studio Entertainment, and Direct-To-Consumer and International. The media networks segment includes cable and broadcast television networks, television production and distribution operations, domestic television stations, and radio networks and stations. The Company's Walt Disney Imagineering unit designs and develops new theme park concepts and attractions, as well as resort properties. The studio entertainment segment produces and acquires live-action and animated motion pictures, direct-to-video content, musical recordings and live stage plays. The Company also develops and publishes games, primarily for mobile platforms, books, magazines and comic books.</v>
    <v>203000</v>
    <v>New York Stock Exchange</v>
    <v>XNYS</v>
    <v>XNYS</v>
    <v>500 S Buena Vista St, BURBANK, CA, 91521-0001 US</v>
    <v>180.14</v>
    <v>174</v>
    <v>Media &amp; Publishing</v>
    <v>Stock</v>
    <v>44344.999580902346</v>
    <v>175</v>
    <v>178.08</v>
    <v>324594900000</v>
    <v>THE WALT DISNEY COMPANY</v>
    <v>THE WALT DISNEY COMPANY</v>
    <v>179.51</v>
    <v>0</v>
    <v>179.04</v>
    <v>178.65</v>
    <v>178.78</v>
    <v>1816932000</v>
    <v>DIS</v>
    <v>THE WALT DISNEY COMPANY (XNYS:DIS)</v>
    <v>7130259</v>
    <v>9364574</v>
    <v>2018</v>
  </rv>
  <rv s="4">
    <v>176</v>
  </rv>
</rvData>
</file>

<file path=xl/richData/rdrichvaluestructure.xml><?xml version="1.0" encoding="utf-8"?>
<rvStructures xmlns="http://schemas.microsoft.com/office/spreadsheetml/2017/richdata" count="8">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error">
    <k n="errorType" t="i"/>
    <k n="field" t="s"/>
    <k n="subType" t="i"/>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47">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spbArrays>
  <spbData count="13">
    <spb s="0">
      <v>0</v>
      <v>Name</v>
      <v>LearnMoreOnLink</v>
    </spb>
    <spb s="1">
      <v>0</v>
      <v>0</v>
    </spb>
    <spb s="2">
      <v>0</v>
      <v>0</v>
      <v>0</v>
    </spb>
    <spb s="3">
      <v>1</v>
      <v>2</v>
      <v>2</v>
      <v>2</v>
      <v>2</v>
    </spb>
    <spb s="4">
      <v>1</v>
      <v>2</v>
      <v>2</v>
      <v>1</v>
      <v>3</v>
      <v>1</v>
      <v>4</v>
      <v>1</v>
      <v>1</v>
      <v>5</v>
      <v>5</v>
      <v>6</v>
      <v>7</v>
      <v>1</v>
      <v>1</v>
      <v>1</v>
      <v>5</v>
      <v>8</v>
      <v>9</v>
      <v>10</v>
      <v>11</v>
      <v>5</v>
      <v>1</v>
      <v>1</v>
      <v>6</v>
    </spb>
    <spb s="5">
      <v>at close</v>
      <v>from previous close</v>
      <v>from previous close</v>
      <v>Source: Nasdaq Last Sale</v>
      <v>GMT</v>
      <v>Real-Time Nasdaq Last Sale</v>
      <v>from close</v>
      <v>from close</v>
    </spb>
    <spb s="6">
      <v>Powered by Refinitiv</v>
    </spb>
    <spb s="5">
      <v>at close</v>
      <v>from previous close</v>
      <v>from previous close</v>
      <v>Source: Nasdaq</v>
      <v>GMT</v>
      <v>Delayed 15 minutes</v>
      <v>from close</v>
      <v>from close</v>
    </spb>
    <spb s="0">
      <v>1</v>
      <v>Name</v>
      <v>LearnMoreOnLink</v>
    </spb>
    <spb s="7">
      <v>1</v>
      <v>2</v>
      <v>1</v>
      <v>3</v>
      <v>1</v>
      <v>4</v>
      <v>1</v>
      <v>1</v>
      <v>5</v>
      <v>5</v>
      <v>6</v>
      <v>7</v>
      <v>1</v>
      <v>1</v>
      <v>1</v>
      <v>5</v>
      <v>8</v>
      <v>9</v>
      <v>10</v>
      <v>11</v>
      <v>5</v>
      <v>1</v>
      <v>1</v>
      <v>6</v>
    </spb>
    <spb s="0">
      <v>2</v>
      <v>Name</v>
      <v>LearnMoreOnLink</v>
    </spb>
    <spb s="8">
      <v>2</v>
      <v>2</v>
      <v>2</v>
      <v>2</v>
    </spb>
    <spb s="9">
      <v>1</v>
      <v>2</v>
      <v>2</v>
      <v>1</v>
      <v>3</v>
      <v>1</v>
      <v>1</v>
      <v>1</v>
      <v>5</v>
      <v>5</v>
      <v>6</v>
      <v>7</v>
      <v>1</v>
      <v>1</v>
      <v>1</v>
      <v>5</v>
      <v>8</v>
      <v>9</v>
      <v>10</v>
      <v>11</v>
      <v>5</v>
      <v>1</v>
      <v>1</v>
      <v>6</v>
    </spb>
  </spbData>
</supportingPropertyBags>
</file>

<file path=xl/richData/rdsupportingpropertybagstructure.xml><?xml version="1.0" encoding="utf-8"?>
<spbStructures xmlns="http://schemas.microsoft.com/office/spreadsheetml/2017/richdata2" count="10">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dd/mm/yyyy\ h:mm"/>
    </x:dxf>
    <x:dxf>
      <x:numFmt numFmtId="1" formatCode="0"/>
    </x:dxf>
    <x:dxf>
      <x:numFmt numFmtId="2" formatCode="0.00"/>
    </x:dxf>
  </dxfs>
  <richProperties>
    <rPr n="IsTitleField" t="b"/>
    <rPr n="IsHeroField" t="b"/>
    <rPr n="ShouldShowInCell" t="b"/>
  </richProperties>
  <richStyles>
    <rSty dxfid="0"/>
    <rSty dxfid="1"/>
    <rSty>
      <rpv i="0">1</rpv>
    </rSty>
    <rSty>
      <rpv i="1">1</rpv>
    </rSty>
    <rSty dxfid="2"/>
    <rSty dxfid="3"/>
    <rSty dxfid="4"/>
    <rSty dxfid="5"/>
    <rSty>
      <rpv i="2">1</rpv>
    </rSty>
    <rSty dxfid="6"/>
    <rSty dxfid="7"/>
  </richStyles>
</richStyleSheet>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794-B71D-4D70-8A8B-C405011C16FA}">
  <sheetPr codeName="גיליון1"/>
  <dimension ref="A1:Q31"/>
  <sheetViews>
    <sheetView rightToLeft="1" tabSelected="1" workbookViewId="0">
      <selection activeCell="F2" sqref="F2"/>
    </sheetView>
  </sheetViews>
  <sheetFormatPr defaultRowHeight="13.8" x14ac:dyDescent="0.25"/>
  <cols>
    <col min="4" max="4" width="9.59765625" customWidth="1"/>
    <col min="6" max="6" width="9" customWidth="1"/>
    <col min="11" max="11" width="22" customWidth="1"/>
  </cols>
  <sheetData>
    <row r="1" spans="1:17" x14ac:dyDescent="0.25">
      <c r="A1" t="s">
        <v>0</v>
      </c>
      <c r="B1" t="s">
        <v>4</v>
      </c>
      <c r="C1" t="s">
        <v>1</v>
      </c>
      <c r="D1" t="s">
        <v>2</v>
      </c>
      <c r="E1" t="s">
        <v>3</v>
      </c>
      <c r="F1" t="s">
        <v>5</v>
      </c>
      <c r="G1" t="s">
        <v>6</v>
      </c>
      <c r="H1" t="s">
        <v>7</v>
      </c>
      <c r="I1" t="s">
        <v>8</v>
      </c>
      <c r="J1" t="s">
        <v>9</v>
      </c>
      <c r="K1" t="s">
        <v>10</v>
      </c>
      <c r="L1" t="s">
        <v>11</v>
      </c>
      <c r="M1" t="s">
        <v>12</v>
      </c>
      <c r="N1" t="s">
        <v>13</v>
      </c>
      <c r="O1" t="s">
        <v>14</v>
      </c>
      <c r="P1" t="s">
        <v>15</v>
      </c>
      <c r="Q1" t="s">
        <v>16</v>
      </c>
    </row>
    <row r="2" spans="1:17" x14ac:dyDescent="0.25">
      <c r="A2" t="e" vm="1">
        <v>#VALUE!</v>
      </c>
      <c r="B2" t="str">
        <f t="shared" ref="B2:B31" si="0">_FV(A2,"Ticker symbol",TRUE)</f>
        <v>MMM</v>
      </c>
      <c r="C2" t="str">
        <f t="shared" ref="C2:C31" si="1">_FV(A2,"Name")</f>
        <v>3M COMPANY</v>
      </c>
      <c r="D2" t="str">
        <f t="shared" ref="D2:D31" si="2">_FV(A2,"Description")</f>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c>
      <c r="E2" t="str">
        <f t="shared" ref="E2:E31" si="3">_FV(A2,"Industry")</f>
        <v>Consumer Goods Conglomerates</v>
      </c>
      <c r="F2" s="2">
        <v>9</v>
      </c>
      <c r="G2" s="2">
        <f t="shared" ref="G2:G31" si="4">_FV(A2,"High")</f>
        <v>204.3921</v>
      </c>
      <c r="H2" s="2">
        <f t="shared" ref="H2:H31" si="5">_FV(A2,"Low")</f>
        <v>202.8</v>
      </c>
      <c r="I2" s="2">
        <f t="shared" ref="I2:I31" si="6">_FV(A2,"Open")</f>
        <v>203.04</v>
      </c>
      <c r="J2" s="2">
        <f t="shared" ref="J2:J31" si="7">_FV(A2,"Previous close",TRUE)</f>
        <v>203.24</v>
      </c>
      <c r="K2" s="3">
        <f t="shared" ref="K2:K31" si="8">_FV(A2,"Market cap",TRUE)</f>
        <v>117697200000</v>
      </c>
      <c r="L2" s="1">
        <f t="shared" ref="L2:L31" si="9">_FV(A2,"Change (%)",TRUE)</f>
        <v>-1.4760000000000001E-3</v>
      </c>
      <c r="M2" s="4" cm="1">
        <f t="array" ref="M2">_FV(A2,"Beta")</f>
        <v>0.95409999999999995</v>
      </c>
      <c r="N2" s="5" cm="1">
        <f t="array" ref="N2">_FV(A2,"Volume")</f>
        <v>1741191</v>
      </c>
      <c r="O2" s="4" cm="1">
        <f t="array" ref="O2">_FV(A2,"P/E",TRUE)</f>
        <v>20.607299999999999</v>
      </c>
      <c r="P2" s="5" cm="1">
        <f t="array" ref="P2">_FV(A2,"Employees")</f>
        <v>94987</v>
      </c>
      <c r="Q2" t="str" cm="1">
        <f t="array" ref="Q2">_FV(A2,"Exchange")</f>
        <v>New York Stock Exchange</v>
      </c>
    </row>
    <row r="3" spans="1:17" x14ac:dyDescent="0.25">
      <c r="A3" t="e" vm="2">
        <v>#VALUE!</v>
      </c>
      <c r="B3" t="str">
        <f t="shared" si="0"/>
        <v>AXP</v>
      </c>
      <c r="C3" t="str">
        <f t="shared" si="1"/>
        <v>AMERICAN EXPRESS COMPANY</v>
      </c>
      <c r="D3" t="str">
        <f t="shared" si="2"/>
        <v>American Express Company, together with its subsidiaries, is a global services company. The Company's principal products and services are charge and credit card products, and travel-related services offered to consumers and businesses around the world. The Company's segments include the Global Consumer Services Group (GCSG), Global Merchant and Network Services (GMNS), and Global Commercial Services (GCS). The Company's range of products and services includes network services; merchant acquisition and processing, servicing and settlement, and point-of-sale marketing and information products and services for merchants; other fee services, including fraud prevention services and the design and operation of customer loyalty programs; expense management products and services, and stored value/prepaid products.</v>
      </c>
      <c r="E3" t="str">
        <f t="shared" si="3"/>
        <v>Banking Services</v>
      </c>
      <c r="F3" s="2" cm="1">
        <f t="array" ref="F3">_FV(A3,"Price")</f>
        <v>160.13</v>
      </c>
      <c r="G3" s="2">
        <f t="shared" si="4"/>
        <v>160.63499999999999</v>
      </c>
      <c r="H3" s="2">
        <f t="shared" si="5"/>
        <v>158.86000000000001</v>
      </c>
      <c r="I3" s="2">
        <f t="shared" si="6"/>
        <v>160.26</v>
      </c>
      <c r="J3" s="2">
        <f t="shared" si="7"/>
        <v>159.74</v>
      </c>
      <c r="K3" s="3">
        <f t="shared" si="8"/>
        <v>128632900000</v>
      </c>
      <c r="L3" s="1">
        <f t="shared" si="9"/>
        <v>2.441E-3</v>
      </c>
      <c r="M3" s="4" cm="1">
        <f t="array" ref="M3">_FV(A3,"Beta")</f>
        <v>1.2897000000000001</v>
      </c>
      <c r="N3" s="5" cm="1">
        <f t="array" ref="N3">_FV(A3,"Volume")</f>
        <v>2437025</v>
      </c>
      <c r="O3" s="4" cm="1">
        <f t="array" ref="O3">_FV(A3,"P/E",TRUE)</f>
        <v>26.211200000000002</v>
      </c>
      <c r="P3" s="5" cm="1">
        <f t="array" ref="P3">_FV(A3,"Employees")</f>
        <v>59000</v>
      </c>
      <c r="Q3" t="str" cm="1">
        <f t="array" ref="Q3">_FV(A3,"Exchange")</f>
        <v>New York Stock Exchange</v>
      </c>
    </row>
    <row r="4" spans="1:17" x14ac:dyDescent="0.25">
      <c r="A4" t="e" vm="3">
        <v>#VALUE!</v>
      </c>
      <c r="B4" t="str">
        <f t="shared" si="0"/>
        <v>AMGN</v>
      </c>
      <c r="C4" t="str">
        <f t="shared" si="1"/>
        <v>AMGEN INC.</v>
      </c>
      <c r="D4" t="str">
        <f t="shared" si="2"/>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c>
      <c r="E4" t="str">
        <f t="shared" si="3"/>
        <v>Pharmaceuticals</v>
      </c>
      <c r="F4" s="2" cm="1">
        <f t="array" ref="F4">_FV(A4,"Price")</f>
        <v>237.94</v>
      </c>
      <c r="G4" s="2">
        <f t="shared" si="4"/>
        <v>240.87</v>
      </c>
      <c r="H4" s="2">
        <f t="shared" si="5"/>
        <v>236.13</v>
      </c>
      <c r="I4" s="2">
        <f t="shared" si="6"/>
        <v>236.21</v>
      </c>
      <c r="J4" s="2">
        <f t="shared" si="7"/>
        <v>235.31</v>
      </c>
      <c r="K4" s="3">
        <f t="shared" si="8"/>
        <v>136709400000</v>
      </c>
      <c r="L4" s="1">
        <f t="shared" si="9"/>
        <v>1.1176999999999999E-2</v>
      </c>
      <c r="M4" s="4" cm="1">
        <f t="array" ref="M4">_FV(A4,"Beta")</f>
        <v>0.71350000000000002</v>
      </c>
      <c r="N4" s="5" cm="1">
        <f t="array" ref="N4">_FV(A4,"Volume")</f>
        <v>3240387</v>
      </c>
      <c r="O4" s="4" cm="1">
        <f t="array" ref="O4">_FV(A4,"P/E",TRUE)</f>
        <v>19.486899999999999</v>
      </c>
      <c r="P4" s="5" cm="1">
        <f t="array" ref="P4">_FV(A4,"Employees")</f>
        <v>24300</v>
      </c>
      <c r="Q4" t="str" cm="1">
        <f t="array" ref="Q4">_FV(A4,"Exchange")</f>
        <v>Nasdaq Stock Market</v>
      </c>
    </row>
    <row r="5" spans="1:17" x14ac:dyDescent="0.25">
      <c r="A5" t="e" vm="4">
        <v>#VALUE!</v>
      </c>
      <c r="B5" t="str">
        <f t="shared" si="0"/>
        <v>AAPL</v>
      </c>
      <c r="C5" t="str">
        <f t="shared" si="1"/>
        <v>APPLE INC.</v>
      </c>
      <c r="D5" t="str">
        <f t="shared" si="2"/>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c>
      <c r="E5" t="str">
        <f t="shared" si="3"/>
        <v>Computers, Phones &amp; Household Electronics</v>
      </c>
      <c r="F5" s="2" cm="1">
        <f t="array" ref="F5">_FV(A5,"Price")</f>
        <v>124.61</v>
      </c>
      <c r="G5" s="2">
        <f t="shared" si="4"/>
        <v>125.8</v>
      </c>
      <c r="H5" s="2">
        <f t="shared" si="5"/>
        <v>124.55</v>
      </c>
      <c r="I5" s="2">
        <f t="shared" si="6"/>
        <v>125.57</v>
      </c>
      <c r="J5" s="2">
        <f t="shared" si="7"/>
        <v>125.28</v>
      </c>
      <c r="K5" s="3">
        <f t="shared" si="8"/>
        <v>2079446000000</v>
      </c>
      <c r="L5" s="1">
        <f t="shared" si="9"/>
        <v>-5.3480000000000003E-3</v>
      </c>
      <c r="M5" s="4" cm="1">
        <f t="array" ref="M5">_FV(A5,"Beta")</f>
        <v>1.2084999999999999</v>
      </c>
      <c r="N5" s="5" cm="1">
        <f t="array" ref="N5">_FV(A5,"Volume")</f>
        <v>71311109</v>
      </c>
      <c r="O5" s="4" cm="1">
        <f t="array" ref="O5">_FV(A5,"P/E",TRUE)</f>
        <v>28.111999999999998</v>
      </c>
      <c r="P5" s="5" cm="1">
        <f t="array" ref="P5">_FV(A5,"Employees")</f>
        <v>147000</v>
      </c>
      <c r="Q5" t="str" cm="1">
        <f t="array" ref="Q5">_FV(A5,"Exchange")</f>
        <v>Nasdaq Stock Market</v>
      </c>
    </row>
    <row r="6" spans="1:17" x14ac:dyDescent="0.25">
      <c r="A6" t="e" vm="5">
        <v>#VALUE!</v>
      </c>
      <c r="B6" t="str">
        <f t="shared" si="0"/>
        <v>BA</v>
      </c>
      <c r="C6" t="str">
        <f t="shared" si="1"/>
        <v>THE BOEING COMPANY</v>
      </c>
      <c r="D6" t="str">
        <f t="shared" si="2"/>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c>
      <c r="E6" t="str">
        <f t="shared" si="3"/>
        <v>Aerospace &amp; Defense</v>
      </c>
      <c r="F6" s="2" cm="1">
        <f t="array" ref="F6">_FV(A6,"Price")</f>
        <v>247.02</v>
      </c>
      <c r="G6" s="2">
        <f t="shared" si="4"/>
        <v>248.98</v>
      </c>
      <c r="H6" s="2">
        <f t="shared" si="5"/>
        <v>245.37</v>
      </c>
      <c r="I6" s="2">
        <f t="shared" si="6"/>
        <v>247.47499999999999</v>
      </c>
      <c r="J6" s="2">
        <f t="shared" si="7"/>
        <v>250.7</v>
      </c>
      <c r="K6" s="3">
        <f t="shared" si="8"/>
        <v>144459800000</v>
      </c>
      <c r="L6" s="1">
        <f t="shared" si="9"/>
        <v>-1.4678999999999999E-2</v>
      </c>
      <c r="M6" s="4" cm="1">
        <f t="array" ref="M6">_FV(A6,"Beta")</f>
        <v>1.6286</v>
      </c>
      <c r="N6" s="5" cm="1">
        <f t="array" ref="N6">_FV(A6,"Volume")</f>
        <v>11197398</v>
      </c>
      <c r="O6" s="4" cm="1">
        <f t="array" ref="O6">_FV(A6,"P/E",TRUE)</f>
        <v>0</v>
      </c>
      <c r="P6" s="5" cm="1">
        <f t="array" ref="P6">_FV(A6,"Employees")</f>
        <v>141000</v>
      </c>
      <c r="Q6" t="str" cm="1">
        <f t="array" ref="Q6">_FV(A6,"Exchange")</f>
        <v>New York Stock Exchange</v>
      </c>
    </row>
    <row r="7" spans="1:17" x14ac:dyDescent="0.25">
      <c r="A7" t="e" vm="6">
        <v>#VALUE!</v>
      </c>
      <c r="B7" t="str">
        <f t="shared" si="0"/>
        <v>CAT</v>
      </c>
      <c r="C7" t="str">
        <f t="shared" si="1"/>
        <v>CATERPILLAR INC.</v>
      </c>
      <c r="D7" t="str">
        <f t="shared" si="2"/>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c>
      <c r="E7" t="str">
        <f t="shared" si="3"/>
        <v>Machinery, Equipment &amp; Components</v>
      </c>
      <c r="F7" s="2" cm="1">
        <f t="array" ref="F7">_FV(A7,"Price")</f>
        <v>241.08</v>
      </c>
      <c r="G7" s="2">
        <f t="shared" si="4"/>
        <v>242.26</v>
      </c>
      <c r="H7" s="2">
        <f t="shared" si="5"/>
        <v>238.79</v>
      </c>
      <c r="I7" s="2">
        <f t="shared" si="6"/>
        <v>241.91</v>
      </c>
      <c r="J7" s="2">
        <f t="shared" si="7"/>
        <v>241.28</v>
      </c>
      <c r="K7" s="3">
        <f t="shared" si="8"/>
        <v>132060500000</v>
      </c>
      <c r="L7" s="1">
        <f t="shared" si="9"/>
        <v>-8.2890000000000004E-4</v>
      </c>
      <c r="M7" s="4" cm="1">
        <f t="array" ref="M7">_FV(A7,"Beta")</f>
        <v>0.91659999999999997</v>
      </c>
      <c r="N7" s="5" cm="1">
        <f t="array" ref="N7">_FV(A7,"Volume")</f>
        <v>2290920</v>
      </c>
      <c r="O7" s="4" cm="1">
        <f t="array" ref="O7">_FV(A7,"P/E",TRUE)</f>
        <v>39.496699999999997</v>
      </c>
      <c r="P7" s="5" cm="1">
        <f t="array" ref="P7">_FV(A7,"Employees")</f>
        <v>97300</v>
      </c>
      <c r="Q7" t="str" cm="1">
        <f t="array" ref="Q7">_FV(A7,"Exchange")</f>
        <v>New York Stock Exchange</v>
      </c>
    </row>
    <row r="8" spans="1:17" x14ac:dyDescent="0.25">
      <c r="A8" t="e" vm="7">
        <v>#VALUE!</v>
      </c>
      <c r="B8" t="str">
        <f t="shared" si="0"/>
        <v>CVX</v>
      </c>
      <c r="C8" t="str">
        <f t="shared" si="1"/>
        <v>CHEVRON CORPORATION</v>
      </c>
      <c r="D8" t="str">
        <f t="shared" si="2"/>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c>
      <c r="E8" t="str">
        <f t="shared" si="3"/>
        <v>Oil &amp; Gas</v>
      </c>
      <c r="F8" s="2" cm="1">
        <f t="array" ref="F8">_FV(A8,"Price")</f>
        <v>103.79</v>
      </c>
      <c r="G8" s="2">
        <f t="shared" si="4"/>
        <v>104.12</v>
      </c>
      <c r="H8" s="2">
        <f t="shared" si="5"/>
        <v>102.95</v>
      </c>
      <c r="I8" s="2">
        <f t="shared" si="6"/>
        <v>103.62</v>
      </c>
      <c r="J8" s="2">
        <f t="shared" si="7"/>
        <v>103.01</v>
      </c>
      <c r="K8" s="3">
        <f t="shared" si="8"/>
        <v>200113300000</v>
      </c>
      <c r="L8" s="1">
        <f t="shared" si="9"/>
        <v>7.5719999999999997E-3</v>
      </c>
      <c r="M8" s="4" cm="1">
        <f t="array" ref="M8">_FV(A8,"Beta")</f>
        <v>1.2988</v>
      </c>
      <c r="N8" s="5" cm="1">
        <f t="array" ref="N8">_FV(A8,"Volume")</f>
        <v>7278515</v>
      </c>
      <c r="O8" s="4" cm="1">
        <f t="array" ref="O8">_FV(A8,"P/E",TRUE)</f>
        <v>0</v>
      </c>
      <c r="P8" s="5" cm="1">
        <f t="array" ref="P8">_FV(A8,"Employees")</f>
        <v>47736</v>
      </c>
      <c r="Q8" t="str" cm="1">
        <f t="array" ref="Q8">_FV(A8,"Exchange")</f>
        <v>New York Stock Exchange</v>
      </c>
    </row>
    <row r="9" spans="1:17" x14ac:dyDescent="0.25">
      <c r="A9" t="e" vm="8">
        <v>#VALUE!</v>
      </c>
      <c r="B9" t="str">
        <f t="shared" si="0"/>
        <v>CSCO</v>
      </c>
      <c r="C9" t="str">
        <f t="shared" si="1"/>
        <v>CISCO SYSTEMS, INC.</v>
      </c>
      <c r="D9" t="str">
        <f t="shared" si="2"/>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c>
      <c r="E9" t="str">
        <f t="shared" si="3"/>
        <v>Communications &amp; Networking</v>
      </c>
      <c r="F9" s="2" cm="1">
        <f t="array" ref="F9">_FV(A9,"Price")</f>
        <v>52.9</v>
      </c>
      <c r="G9" s="2">
        <f t="shared" si="4"/>
        <v>53.22</v>
      </c>
      <c r="H9" s="2">
        <f t="shared" si="5"/>
        <v>52.835000000000001</v>
      </c>
      <c r="I9" s="2">
        <f t="shared" si="6"/>
        <v>53.18</v>
      </c>
      <c r="J9" s="2">
        <f t="shared" si="7"/>
        <v>52.92</v>
      </c>
      <c r="K9" s="3">
        <f t="shared" si="8"/>
        <v>222931400000</v>
      </c>
      <c r="L9" s="1">
        <f t="shared" si="9"/>
        <v>-3.7789999999999997E-4</v>
      </c>
      <c r="M9" s="4" cm="1">
        <f t="array" ref="M9">_FV(A9,"Beta")</f>
        <v>0.8982</v>
      </c>
      <c r="N9" s="5" cm="1">
        <f t="array" ref="N9">_FV(A9,"Volume")</f>
        <v>14864346</v>
      </c>
      <c r="O9" s="4" cm="1">
        <f t="array" ref="O9">_FV(A9,"P/E",TRUE)</f>
        <v>21.950600000000001</v>
      </c>
      <c r="P9" s="5" cm="1">
        <f t="array" ref="P9">_FV(A9,"Employees")</f>
        <v>77500</v>
      </c>
      <c r="Q9" t="str" cm="1">
        <f t="array" ref="Q9">_FV(A9,"Exchange")</f>
        <v>Nasdaq Stock Market</v>
      </c>
    </row>
    <row r="10" spans="1:17" x14ac:dyDescent="0.25">
      <c r="A10" t="e" vm="9">
        <v>#VALUE!</v>
      </c>
      <c r="B10" t="str">
        <f t="shared" si="0"/>
        <v>KO</v>
      </c>
      <c r="C10" t="str">
        <f t="shared" si="1"/>
        <v>THE COCA-COLA COMPANY</v>
      </c>
      <c r="D10" t="str">
        <f t="shared" si="2"/>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c>
      <c r="E10" t="str">
        <f t="shared" si="3"/>
        <v>Beverages</v>
      </c>
      <c r="F10" s="2" cm="1">
        <f t="array" ref="F10">_FV(A10,"Price")</f>
        <v>55.32</v>
      </c>
      <c r="G10" s="2">
        <f t="shared" si="4"/>
        <v>55.71</v>
      </c>
      <c r="H10" s="2">
        <f t="shared" si="5"/>
        <v>55.2</v>
      </c>
      <c r="I10" s="2">
        <f t="shared" si="6"/>
        <v>55.29</v>
      </c>
      <c r="J10" s="2">
        <f t="shared" si="7"/>
        <v>55.49</v>
      </c>
      <c r="K10" s="3">
        <f t="shared" si="8"/>
        <v>238392800000</v>
      </c>
      <c r="L10" s="1">
        <f t="shared" si="9"/>
        <v>-3.0639999999999999E-3</v>
      </c>
      <c r="M10" s="4" cm="1">
        <f t="array" ref="M10">_FV(A10,"Beta")</f>
        <v>0.61470000000000002</v>
      </c>
      <c r="N10" s="5" cm="1">
        <f t="array" ref="N10">_FV(A10,"Volume")</f>
        <v>17011952</v>
      </c>
      <c r="O10" s="4" cm="1">
        <f t="array" ref="O10">_FV(A10,"P/E",TRUE)</f>
        <v>32.834000000000003</v>
      </c>
      <c r="P10" s="5" cm="1">
        <f t="array" ref="P10">_FV(A10,"Employees")</f>
        <v>80300</v>
      </c>
      <c r="Q10" t="str" cm="1">
        <f t="array" ref="Q10">_FV(A10,"Exchange")</f>
        <v>New York Stock Exchange</v>
      </c>
    </row>
    <row r="11" spans="1:17" x14ac:dyDescent="0.25">
      <c r="A11" t="e" vm="10">
        <v>#VALUE!</v>
      </c>
      <c r="B11" t="str">
        <f t="shared" si="0"/>
        <v>DOW</v>
      </c>
      <c r="C11" t="str">
        <f t="shared" si="1"/>
        <v>Dow Inc.</v>
      </c>
      <c r="D11" t="str">
        <f t="shared" si="2"/>
        <v>Dow Inc. is a material science company that is combining science and technology to develop solutions. The Company’s portfolio comprised of six global business units, organized into three operating segments: Performance Materials &amp; Coatings, Industrial Intermediates &amp; Infrastructure and Packaging &amp; Specialty Plastics. Its products serve different applications, including coatings, home and personal care, durable goods, adhesives and sealants, and food and specialty packaging. In addition, the Company operates a global commercial and development network that features eight research and development (R&amp;D) centers.</v>
      </c>
      <c r="E11" t="str">
        <f t="shared" si="3"/>
        <v>Chemicals</v>
      </c>
      <c r="F11" s="2" cm="1">
        <f t="array" ref="F11">_FV(A11,"Price")</f>
        <v>68.42</v>
      </c>
      <c r="G11" s="2">
        <f t="shared" si="4"/>
        <v>69.17</v>
      </c>
      <c r="H11" s="2">
        <f t="shared" si="5"/>
        <v>67.709999999999994</v>
      </c>
      <c r="I11" s="2">
        <f t="shared" si="6"/>
        <v>69.08</v>
      </c>
      <c r="J11" s="2">
        <f t="shared" si="7"/>
        <v>68.66</v>
      </c>
      <c r="K11" s="3">
        <f t="shared" si="8"/>
        <v>51109020000</v>
      </c>
      <c r="L11" s="1">
        <f t="shared" si="9"/>
        <v>-3.4949999999999998E-3</v>
      </c>
      <c r="M11" t="e" cm="1" vm="11">
        <f t="array" ref="M11">_FV(A11,"Beta")</f>
        <v>#VALUE!</v>
      </c>
      <c r="N11" s="5" cm="1">
        <f t="array" ref="N11">_FV(A11,"Volume")</f>
        <v>3815179</v>
      </c>
      <c r="O11" s="4" cm="1">
        <f t="array" ref="O11">_FV(A11,"P/E",TRUE)</f>
        <v>26.167000000000002</v>
      </c>
      <c r="P11" s="5" cm="1">
        <f t="array" ref="P11">_FV(A11,"Employees")</f>
        <v>35700</v>
      </c>
      <c r="Q11" t="str" cm="1">
        <f t="array" ref="Q11">_FV(A11,"Exchange")</f>
        <v>New York Stock Exchange</v>
      </c>
    </row>
    <row r="12" spans="1:17" x14ac:dyDescent="0.25">
      <c r="A12" t="e" vm="12">
        <v>#VALUE!</v>
      </c>
      <c r="B12" t="str">
        <f t="shared" si="0"/>
        <v>GS</v>
      </c>
      <c r="C12" t="str">
        <f t="shared" si="1"/>
        <v>THE GOLDMAN SACHS GROUP, INC.</v>
      </c>
      <c r="D12" t="str">
        <f t="shared" si="2"/>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c>
      <c r="E12" t="str">
        <f t="shared" si="3"/>
        <v>Investment Banking &amp; Investment Services</v>
      </c>
      <c r="F12" s="2" cm="1">
        <f t="array" ref="F12">_FV(A12,"Price")</f>
        <v>372.02</v>
      </c>
      <c r="G12" s="2">
        <f t="shared" si="4"/>
        <v>373.07</v>
      </c>
      <c r="H12" s="2">
        <f t="shared" si="5"/>
        <v>368.26</v>
      </c>
      <c r="I12" s="2">
        <f t="shared" si="6"/>
        <v>372</v>
      </c>
      <c r="J12" s="2">
        <f t="shared" si="7"/>
        <v>370.12</v>
      </c>
      <c r="K12" s="3">
        <f t="shared" si="8"/>
        <v>126398300000</v>
      </c>
      <c r="L12" s="1">
        <f t="shared" si="9"/>
        <v>5.1329999999999995E-3</v>
      </c>
      <c r="M12" s="4" cm="1">
        <f t="array" ref="M12">_FV(A12,"Beta")</f>
        <v>1.4943</v>
      </c>
      <c r="N12" s="5" cm="1">
        <f t="array" ref="N12">_FV(A12,"Volume")</f>
        <v>2170561</v>
      </c>
      <c r="O12" s="4" cm="1">
        <f t="array" ref="O12">_FV(A12,"P/E",TRUE)</f>
        <v>9.2039000000000009</v>
      </c>
      <c r="P12" s="5" cm="1">
        <f t="array" ref="P12">_FV(A12,"Employees")</f>
        <v>40300</v>
      </c>
      <c r="Q12" t="str" cm="1">
        <f t="array" ref="Q12">_FV(A12,"Exchange")</f>
        <v>New York Stock Exchange</v>
      </c>
    </row>
    <row r="13" spans="1:17" x14ac:dyDescent="0.25">
      <c r="A13" t="e" vm="13">
        <v>#VALUE!</v>
      </c>
      <c r="B13" t="str">
        <f t="shared" si="0"/>
        <v>HD</v>
      </c>
      <c r="C13" t="str">
        <f t="shared" si="1"/>
        <v>THE HOME DEPOT, INC.</v>
      </c>
      <c r="D13" t="str">
        <f t="shared" si="2"/>
        <v>The Home Depot, Inc. is a home improvement retailer. The Company offers its customers an assortment of building materials, home improvement products, lawn and garden products, and decor products and provide a number of services, including home improvement installation services and tool and equipment rental. It operates approximately 2,291 The Home Depot stores located throughout the United States (U.S.), including the Commonwealth of Puerto Rico and the territories of the U.S. Virgin Islands and Guam; Canada and Mexico. The Company serve two primary customer groups: do-it-yourself (DIY) Customers and Professional Customers (Pros). DIY Customers include home owners who purchase products and complete their own projects and installations. Professional Customers are primarily professional renovators/remodelers, general contractors, handymen, property managers, building service contractors and specialty tradesmen, such as electricians, plumbers and painters.</v>
      </c>
      <c r="E13" t="str">
        <f t="shared" si="3"/>
        <v>Specialty Retailers</v>
      </c>
      <c r="F13" s="2" cm="1">
        <f t="array" ref="F13">_FV(A13,"Price")</f>
        <v>318.91000000000003</v>
      </c>
      <c r="G13" s="2">
        <f t="shared" si="4"/>
        <v>321.51</v>
      </c>
      <c r="H13" s="2">
        <f t="shared" si="5"/>
        <v>318.85000000000002</v>
      </c>
      <c r="I13" s="2">
        <f t="shared" si="6"/>
        <v>320.37</v>
      </c>
      <c r="J13" s="2">
        <f t="shared" si="7"/>
        <v>318.77</v>
      </c>
      <c r="K13" s="3">
        <f t="shared" si="8"/>
        <v>339083800000</v>
      </c>
      <c r="L13" s="1">
        <f t="shared" si="9"/>
        <v>4.392E-4</v>
      </c>
      <c r="M13" s="4" cm="1">
        <f t="array" ref="M13">_FV(A13,"Beta")</f>
        <v>1.0489999999999999</v>
      </c>
      <c r="N13" s="5" cm="1">
        <f t="array" ref="N13">_FV(A13,"Volume")</f>
        <v>3197218</v>
      </c>
      <c r="O13" s="4" cm="1">
        <f t="array" ref="O13">_FV(A13,"P/E",TRUE)</f>
        <v>23.247499999999999</v>
      </c>
      <c r="P13" s="5" cm="1">
        <f t="array" ref="P13">_FV(A13,"Employees")</f>
        <v>504800</v>
      </c>
      <c r="Q13" t="str" cm="1">
        <f t="array" ref="Q13">_FV(A13,"Exchange")</f>
        <v>New York Stock Exchange</v>
      </c>
    </row>
    <row r="14" spans="1:17" x14ac:dyDescent="0.25">
      <c r="A14" t="e" vm="14">
        <v>#VALUE!</v>
      </c>
      <c r="B14" t="str">
        <f t="shared" si="0"/>
        <v>HON</v>
      </c>
      <c r="C14" t="str">
        <f t="shared" si="1"/>
        <v>HONEYWELL INTERNATIONAL INC.</v>
      </c>
      <c r="D14" t="str">
        <f t="shared" si="2"/>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c>
      <c r="E14" t="str">
        <f t="shared" si="3"/>
        <v>Consumer Goods Conglomerates</v>
      </c>
      <c r="F14" s="2" cm="1">
        <f t="array" ref="F14">_FV(A14,"Price")</f>
        <v>230.91</v>
      </c>
      <c r="G14" s="2">
        <f t="shared" si="4"/>
        <v>232.24</v>
      </c>
      <c r="H14" s="2">
        <f t="shared" si="5"/>
        <v>230.31</v>
      </c>
      <c r="I14" s="2">
        <f t="shared" si="6"/>
        <v>232</v>
      </c>
      <c r="J14" s="2">
        <f t="shared" si="7"/>
        <v>231.27</v>
      </c>
      <c r="K14" s="3">
        <f t="shared" si="8"/>
        <v>160379800000</v>
      </c>
      <c r="L14" s="1">
        <f t="shared" si="9"/>
        <v>-1.557E-3</v>
      </c>
      <c r="M14" s="4" cm="1">
        <f t="array" ref="M14">_FV(A14,"Beta")</f>
        <v>1.1467000000000001</v>
      </c>
      <c r="N14" s="5" cm="1">
        <f t="array" ref="N14">_FV(A14,"Volume")</f>
        <v>2529345</v>
      </c>
      <c r="O14" s="4" cm="1">
        <f t="array" ref="O14">_FV(A14,"P/E",TRUE)</f>
        <v>35.392400000000002</v>
      </c>
      <c r="P14" s="5" cm="1">
        <f t="array" ref="P14">_FV(A14,"Employees")</f>
        <v>103000</v>
      </c>
      <c r="Q14" t="str" cm="1">
        <f t="array" ref="Q14">_FV(A14,"Exchange")</f>
        <v>Nasdaq Stock Market</v>
      </c>
    </row>
    <row r="15" spans="1:17" x14ac:dyDescent="0.25">
      <c r="A15" t="e" vm="15">
        <v>#VALUE!</v>
      </c>
      <c r="B15" t="str">
        <f t="shared" si="0"/>
        <v>IBM</v>
      </c>
      <c r="C15" t="str">
        <f t="shared" si="1"/>
        <v>INTERNATIONAL BUSINESS MACHINES CORPORATION</v>
      </c>
      <c r="D15" t="str">
        <f t="shared" si="2"/>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c>
      <c r="E15" t="str">
        <f t="shared" si="3"/>
        <v>Software &amp; IT Services</v>
      </c>
      <c r="F15" s="2" cm="1">
        <f t="array" ref="F15">_FV(A15,"Price")</f>
        <v>143.74</v>
      </c>
      <c r="G15" s="2">
        <f t="shared" si="4"/>
        <v>144.33000000000001</v>
      </c>
      <c r="H15" s="2">
        <f t="shared" si="5"/>
        <v>143.48500000000001</v>
      </c>
      <c r="I15" s="2">
        <f t="shared" si="6"/>
        <v>144.21</v>
      </c>
      <c r="J15" s="2">
        <f t="shared" si="7"/>
        <v>143.82</v>
      </c>
      <c r="K15" s="3">
        <f t="shared" si="8"/>
        <v>128435000000</v>
      </c>
      <c r="L15" s="1">
        <f t="shared" si="9"/>
        <v>-5.5630000000000002E-4</v>
      </c>
      <c r="M15" s="4" cm="1">
        <f t="array" ref="M15">_FV(A15,"Beta")</f>
        <v>1.2250000000000001</v>
      </c>
      <c r="N15" s="5" cm="1">
        <f t="array" ref="N15">_FV(A15,"Volume")</f>
        <v>2534811</v>
      </c>
      <c r="O15" s="4" cm="1">
        <f t="array" ref="O15">_FV(A15,"P/E",TRUE)</f>
        <v>24.5413</v>
      </c>
      <c r="P15" s="5" cm="1">
        <f t="array" ref="P15">_FV(A15,"Employees")</f>
        <v>375300</v>
      </c>
      <c r="Q15" t="str" cm="1">
        <f t="array" ref="Q15">_FV(A15,"Exchange")</f>
        <v>New York Stock Exchange</v>
      </c>
    </row>
    <row r="16" spans="1:17" x14ac:dyDescent="0.25">
      <c r="A16" t="e" vm="16">
        <v>#VALUE!</v>
      </c>
      <c r="B16" t="str">
        <f t="shared" si="0"/>
        <v>INTC</v>
      </c>
      <c r="C16" t="str">
        <f t="shared" si="1"/>
        <v>INTEL CORPORATION</v>
      </c>
      <c r="D16" t="str">
        <f t="shared" si="2"/>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c>
      <c r="E16" t="str">
        <f t="shared" si="3"/>
        <v>Semiconductors &amp; Semiconductor Equipment</v>
      </c>
      <c r="F16" s="2" cm="1">
        <f t="array" ref="F16">_FV(A16,"Price")</f>
        <v>57.12</v>
      </c>
      <c r="G16" s="2">
        <f t="shared" si="4"/>
        <v>57.65</v>
      </c>
      <c r="H16" s="2">
        <f t="shared" si="5"/>
        <v>56.94</v>
      </c>
      <c r="I16" s="2">
        <f t="shared" si="6"/>
        <v>57.55</v>
      </c>
      <c r="J16" s="2">
        <f t="shared" si="7"/>
        <v>57.73</v>
      </c>
      <c r="K16" s="3">
        <f t="shared" si="8"/>
        <v>230650600000</v>
      </c>
      <c r="L16" s="1">
        <f t="shared" si="9"/>
        <v>-1.0565999999999999E-2</v>
      </c>
      <c r="M16" s="4" cm="1">
        <f t="array" ref="M16">_FV(A16,"Beta")</f>
        <v>0.60299999999999998</v>
      </c>
      <c r="N16" s="5" cm="1">
        <f t="array" ref="N16">_FV(A16,"Volume")</f>
        <v>20309599</v>
      </c>
      <c r="O16" s="4" cm="1">
        <f t="array" ref="O16">_FV(A16,"P/E",TRUE)</f>
        <v>12.9762</v>
      </c>
      <c r="P16" s="5" cm="1">
        <f t="array" ref="P16">_FV(A16,"Employees")</f>
        <v>110600</v>
      </c>
      <c r="Q16" t="str" cm="1">
        <f t="array" ref="Q16">_FV(A16,"Exchange")</f>
        <v>Nasdaq Stock Market</v>
      </c>
    </row>
    <row r="17" spans="1:17" x14ac:dyDescent="0.25">
      <c r="A17" t="e" vm="17">
        <v>#VALUE!</v>
      </c>
      <c r="B17" t="str">
        <f t="shared" si="0"/>
        <v>JNJ</v>
      </c>
      <c r="C17" t="str">
        <f t="shared" si="1"/>
        <v>JOHNSON &amp; JOHNSON</v>
      </c>
      <c r="D17" t="str">
        <f t="shared" si="2"/>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baby care, oral care, skin care, over-the-counter pharmaceutical, women's health and wound care markets. The Pharmaceutical segment is focused on five therapeutic areas, including immunology, infectious diseases, neuroscience, oncology, and cardiovascular and metabolic diseases. The Medical Devices segment includes a range of products used in the orthopedic, surgery, cardiovascular, diabetes care and vision care fields. Its research facilities are located in the United States, Belgium, Brazil, Canada, China, France, Germany, India, Israel, Japan, the Netherlands, Singapore, Switzerland and the United Kingdom.</v>
      </c>
      <c r="E17" t="str">
        <f t="shared" si="3"/>
        <v>Pharmaceuticals</v>
      </c>
      <c r="F17" s="2" cm="1">
        <f t="array" ref="F17">_FV(A17,"Price")</f>
        <v>169.25</v>
      </c>
      <c r="G17" s="2">
        <f t="shared" si="4"/>
        <v>171.005</v>
      </c>
      <c r="H17" s="2">
        <f t="shared" si="5"/>
        <v>169.17</v>
      </c>
      <c r="I17" s="2">
        <f t="shared" si="6"/>
        <v>169.52</v>
      </c>
      <c r="J17" s="2">
        <f t="shared" si="7"/>
        <v>168.81</v>
      </c>
      <c r="K17" s="3">
        <f t="shared" si="8"/>
        <v>445702300000</v>
      </c>
      <c r="L17" s="1">
        <f t="shared" si="9"/>
        <v>2.6059999999999998E-3</v>
      </c>
      <c r="M17" s="4" cm="1">
        <f t="array" ref="M17">_FV(A17,"Beta")</f>
        <v>0.70609999999999995</v>
      </c>
      <c r="N17" s="5" cm="1">
        <f t="array" ref="N17">_FV(A17,"Volume")</f>
        <v>6401011</v>
      </c>
      <c r="O17" s="4" cm="1">
        <f t="array" ref="O17">_FV(A17,"P/E",TRUE)</f>
        <v>29.8185</v>
      </c>
      <c r="P17" s="5" cm="1">
        <f t="array" ref="P17">_FV(A17,"Employees")</f>
        <v>134500</v>
      </c>
      <c r="Q17" t="str" cm="1">
        <f t="array" ref="Q17">_FV(A17,"Exchange")</f>
        <v>New York Stock Exchange</v>
      </c>
    </row>
    <row r="18" spans="1:17" x14ac:dyDescent="0.25">
      <c r="A18" t="e" vm="18">
        <v>#VALUE!</v>
      </c>
      <c r="B18" t="str">
        <f t="shared" si="0"/>
        <v>JPM</v>
      </c>
      <c r="C18" t="str">
        <f t="shared" si="1"/>
        <v>JPMORGAN CHASE &amp; CO.</v>
      </c>
      <c r="D18" t="str">
        <f t="shared" si="2"/>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c>
      <c r="E18" t="str">
        <f t="shared" si="3"/>
        <v>Banking Services</v>
      </c>
      <c r="F18" s="2" cm="1">
        <f t="array" ref="F18">_FV(A18,"Price")</f>
        <v>164.24</v>
      </c>
      <c r="G18" s="2">
        <f t="shared" si="4"/>
        <v>164.94</v>
      </c>
      <c r="H18" s="2">
        <f t="shared" si="5"/>
        <v>163.26</v>
      </c>
      <c r="I18" s="2">
        <f t="shared" si="6"/>
        <v>164.68</v>
      </c>
      <c r="J18" s="2">
        <f t="shared" si="7"/>
        <v>164.35</v>
      </c>
      <c r="K18" s="3">
        <f t="shared" si="8"/>
        <v>497205900000</v>
      </c>
      <c r="L18" s="1">
        <f t="shared" si="9"/>
        <v>-6.6930000000000006E-4</v>
      </c>
      <c r="M18" s="4" cm="1">
        <f t="array" ref="M18">_FV(A18,"Beta")</f>
        <v>1.1918</v>
      </c>
      <c r="N18" s="5" cm="1">
        <f t="array" ref="N18">_FV(A18,"Volume")</f>
        <v>10294700</v>
      </c>
      <c r="O18" s="4" cm="1">
        <f t="array" ref="O18">_FV(A18,"P/E",TRUE)</f>
        <v>13.0435</v>
      </c>
      <c r="P18" s="5" cm="1">
        <f t="array" ref="P18">_FV(A18,"Employees")</f>
        <v>259350</v>
      </c>
      <c r="Q18" t="str" cm="1">
        <f t="array" ref="Q18">_FV(A18,"Exchange")</f>
        <v>New York Stock Exchange</v>
      </c>
    </row>
    <row r="19" spans="1:17" x14ac:dyDescent="0.25">
      <c r="A19" t="e" vm="19">
        <v>#VALUE!</v>
      </c>
      <c r="B19" t="str">
        <f t="shared" si="0"/>
        <v>MCD</v>
      </c>
      <c r="C19" t="str">
        <f t="shared" si="1"/>
        <v>MCDONALD'S CORPORATION</v>
      </c>
      <c r="D19" t="str">
        <f t="shared" si="2"/>
        <v>McDonald's Corporation (McDonald's) operates and franchises McDonald's restaurants. The Company's restaurants serve a locally relevant menu of food and drinks sold at various price points in over 100 countries. The Company's segments include U.S., International Lead Markets, High Growth Markets, and Foundational Markets and Corporate. The U.S. segment focuses on offering a platform for authentic ingredients that allows customers to customize their sandwiches. Its High Growth Markets segment includes its operations in markets, such as China, Italy, Korea, Poland, Russia, Spain, Switzerland, the Netherlands and related markets. The International Lead markets segment includes the Company's operations in various markets, such as Australia, Canada, France, Germany, the United Kingdom and related markets. The Foundational markets and Corporate segment is engaged in operating restaurants and increasing convenience to customers, including through drive-thru and delivery.</v>
      </c>
      <c r="E19" t="str">
        <f t="shared" si="3"/>
        <v>Hotels &amp; Entertainment Services</v>
      </c>
      <c r="F19" s="2" cm="1">
        <f t="array" ref="F19">_FV(A19,"Price")</f>
        <v>233.89</v>
      </c>
      <c r="G19" s="2">
        <f t="shared" si="4"/>
        <v>234.41</v>
      </c>
      <c r="H19" s="2">
        <f t="shared" si="5"/>
        <v>232.45</v>
      </c>
      <c r="I19" s="2">
        <f t="shared" si="6"/>
        <v>234.13</v>
      </c>
      <c r="J19" s="2">
        <f t="shared" si="7"/>
        <v>233.57</v>
      </c>
      <c r="K19" s="3">
        <f t="shared" si="8"/>
        <v>174522700000</v>
      </c>
      <c r="L19" s="1">
        <f t="shared" si="9"/>
        <v>1.3700000000000001E-3</v>
      </c>
      <c r="M19" s="4" cm="1">
        <f t="array" ref="M19">_FV(A19,"Beta")</f>
        <v>0.62790000000000001</v>
      </c>
      <c r="N19" s="5" cm="1">
        <f t="array" ref="N19">_FV(A19,"Volume")</f>
        <v>2853674</v>
      </c>
      <c r="O19" s="4" cm="1">
        <f t="array" ref="O19">_FV(A19,"P/E",TRUE)</f>
        <v>33.963500000000003</v>
      </c>
      <c r="P19" s="5" cm="1">
        <f t="array" ref="P19">_FV(A19,"Employees")</f>
        <v>200000</v>
      </c>
      <c r="Q19" t="str" cm="1">
        <f t="array" ref="Q19">_FV(A19,"Exchange")</f>
        <v>New York Stock Exchange</v>
      </c>
    </row>
    <row r="20" spans="1:17" x14ac:dyDescent="0.25">
      <c r="A20" t="e" vm="20">
        <v>#VALUE!</v>
      </c>
      <c r="B20" t="str">
        <f t="shared" si="0"/>
        <v>MRK</v>
      </c>
      <c r="C20" t="str">
        <f t="shared" si="1"/>
        <v>MERCK &amp; CO., INC.</v>
      </c>
      <c r="D20" t="str">
        <f t="shared" si="2"/>
        <v>Merck &amp; Co., Inc. is a global healthcare company. The Company offers health solutions through its prescription medicines, vaccines, biologic therapies and animal health products. It operates through four segments: Pharmaceutical, Animal Health, Healthcare Services and Alliances. The Company's Pharmaceutical segment includes human health pharmaceutical and vaccine products marketed either directly by the Company or through joint ventures. Human health pharmaceutical products consist of therapeutic and preventive agents, generally sold by prescription, for the treatment of human disorders. The Company sells its human health pharmaceutical products primarily to drug wholesalers and retailers, hospitals, government agencies and managed healthcare providers, such as health maintenance organizations, pharmacy benefit managers and other institutions. Vaccine products consist of preventive pediatric, adolescent and adult vaccines, primarily administered at physician offices.</v>
      </c>
      <c r="E20" t="str">
        <f t="shared" si="3"/>
        <v>Pharmaceuticals</v>
      </c>
      <c r="F20" s="2" cm="1">
        <f t="array" ref="F20">_FV(A20,"Price")</f>
        <v>75.89</v>
      </c>
      <c r="G20" s="2">
        <f t="shared" si="4"/>
        <v>76.400000000000006</v>
      </c>
      <c r="H20" s="2">
        <f t="shared" si="5"/>
        <v>75.8</v>
      </c>
      <c r="I20" s="2">
        <f t="shared" si="6"/>
        <v>76.02</v>
      </c>
      <c r="J20" s="2">
        <f t="shared" si="7"/>
        <v>75.92</v>
      </c>
      <c r="K20" s="3">
        <f t="shared" si="8"/>
        <v>192157900000</v>
      </c>
      <c r="L20" s="1">
        <f t="shared" si="9"/>
        <v>-3.9520000000000001E-4</v>
      </c>
      <c r="M20" s="4" cm="1">
        <f t="array" ref="M20">_FV(A20,"Beta")</f>
        <v>0.41320000000000001</v>
      </c>
      <c r="N20" s="5" cm="1">
        <f t="array" ref="N20">_FV(A20,"Volume")</f>
        <v>13332926</v>
      </c>
      <c r="O20" s="4" cm="1">
        <f t="array" ref="O20">_FV(A20,"P/E",TRUE)</f>
        <v>27.4481</v>
      </c>
      <c r="P20" s="5" cm="1">
        <f t="array" ref="P20">_FV(A20,"Employees")</f>
        <v>74000</v>
      </c>
      <c r="Q20" t="str" cm="1">
        <f t="array" ref="Q20">_FV(A20,"Exchange")</f>
        <v>New York Stock Exchange</v>
      </c>
    </row>
    <row r="21" spans="1:17" x14ac:dyDescent="0.25">
      <c r="A21" t="e" vm="21">
        <v>#VALUE!</v>
      </c>
      <c r="B21" t="str">
        <f t="shared" si="0"/>
        <v>MSFT</v>
      </c>
      <c r="C21" t="str">
        <f t="shared" si="1"/>
        <v>MICROSOFT CORPORATION</v>
      </c>
      <c r="D21" t="str">
        <f t="shared" si="2"/>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c>
      <c r="E21" t="str">
        <f t="shared" si="3"/>
        <v>Software &amp; IT Services</v>
      </c>
      <c r="F21" s="2" cm="1">
        <f t="array" ref="F21">_FV(A21,"Price")</f>
        <v>249.68</v>
      </c>
      <c r="G21" s="2">
        <f t="shared" si="4"/>
        <v>252.08</v>
      </c>
      <c r="H21" s="2">
        <f t="shared" si="5"/>
        <v>249.56</v>
      </c>
      <c r="I21" s="2">
        <f t="shared" si="6"/>
        <v>250.995</v>
      </c>
      <c r="J21" s="2">
        <f t="shared" si="7"/>
        <v>249.31</v>
      </c>
      <c r="K21" s="3">
        <f t="shared" si="8"/>
        <v>1880484000000</v>
      </c>
      <c r="L21" s="1">
        <f t="shared" si="9"/>
        <v>1.4840000000000001E-3</v>
      </c>
      <c r="M21" s="4" cm="1">
        <f t="array" ref="M21">_FV(A21,"Beta")</f>
        <v>0.78939999999999999</v>
      </c>
      <c r="N21" s="5" cm="1">
        <f t="array" ref="N21">_FV(A21,"Volume")</f>
        <v>18274942</v>
      </c>
      <c r="O21" s="4" cm="1">
        <f t="array" ref="O21">_FV(A21,"P/E",TRUE)</f>
        <v>33.929600000000001</v>
      </c>
      <c r="P21" s="5" cm="1">
        <f t="array" ref="P21">_FV(A21,"Employees")</f>
        <v>163000</v>
      </c>
      <c r="Q21" t="str" cm="1">
        <f t="array" ref="Q21">_FV(A21,"Exchange")</f>
        <v>Nasdaq Stock Market</v>
      </c>
    </row>
    <row r="22" spans="1:17" x14ac:dyDescent="0.25">
      <c r="A22" t="e" vm="22">
        <v>#VALUE!</v>
      </c>
      <c r="B22" t="str">
        <f t="shared" si="0"/>
        <v>NKE</v>
      </c>
      <c r="C22" t="str">
        <f t="shared" si="1"/>
        <v>NIKE, INC.</v>
      </c>
      <c r="D22" t="str">
        <f t="shared" si="2"/>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c>
      <c r="E22" t="str">
        <f t="shared" si="3"/>
        <v>Textiles &amp; Apparel</v>
      </c>
      <c r="F22" s="2" cm="1">
        <f t="array" ref="F22">_FV(A22,"Price")</f>
        <v>136.86000000000001</v>
      </c>
      <c r="G22" s="2">
        <f t="shared" si="4"/>
        <v>137.35499999999999</v>
      </c>
      <c r="H22" s="2">
        <f t="shared" si="5"/>
        <v>136.09</v>
      </c>
      <c r="I22" s="2">
        <f t="shared" si="6"/>
        <v>136.46</v>
      </c>
      <c r="J22" s="2">
        <f t="shared" si="7"/>
        <v>136.285</v>
      </c>
      <c r="K22" s="3">
        <f t="shared" si="8"/>
        <v>215602300000</v>
      </c>
      <c r="L22" s="1">
        <f t="shared" si="9"/>
        <v>4.2189999999999997E-3</v>
      </c>
      <c r="M22" s="4" cm="1">
        <f t="array" ref="M22">_FV(A22,"Beta")</f>
        <v>0.85419999999999996</v>
      </c>
      <c r="N22" s="5" cm="1">
        <f t="array" ref="N22">_FV(A22,"Volume")</f>
        <v>4154634</v>
      </c>
      <c r="O22" s="4" cm="1">
        <f t="array" ref="O22">_FV(A22,"P/E",TRUE)</f>
        <v>63.366199999999999</v>
      </c>
      <c r="P22" s="5" cm="1">
        <f t="array" ref="P22">_FV(A22,"Employees")</f>
        <v>75400</v>
      </c>
      <c r="Q22" t="str" cm="1">
        <f t="array" ref="Q22">_FV(A22,"Exchange")</f>
        <v>New York Stock Exchange</v>
      </c>
    </row>
    <row r="23" spans="1:17" x14ac:dyDescent="0.25">
      <c r="A23" t="e" vm="23">
        <v>#VALUE!</v>
      </c>
      <c r="B23" t="str">
        <f t="shared" si="0"/>
        <v>PG</v>
      </c>
      <c r="C23" t="str">
        <f t="shared" si="1"/>
        <v>THE PROCTER &amp; GAMBLE COMPANY</v>
      </c>
      <c r="D23" t="str">
        <f t="shared" si="2"/>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c>
      <c r="E23" t="str">
        <f t="shared" si="3"/>
        <v>Personal &amp; Household Products &amp; Services</v>
      </c>
      <c r="F23" s="2" cm="1">
        <f t="array" ref="F23">_FV(A23,"Price")</f>
        <v>134.85</v>
      </c>
      <c r="G23" s="2">
        <f t="shared" si="4"/>
        <v>136.13</v>
      </c>
      <c r="H23" s="2">
        <f t="shared" si="5"/>
        <v>134.63999999999999</v>
      </c>
      <c r="I23" s="2">
        <f t="shared" si="6"/>
        <v>135.15</v>
      </c>
      <c r="J23" s="2">
        <f t="shared" si="7"/>
        <v>134.97999999999999</v>
      </c>
      <c r="K23" s="3">
        <f t="shared" si="8"/>
        <v>330144200000</v>
      </c>
      <c r="L23" s="1">
        <f t="shared" si="9"/>
        <v>-9.6310000000000005E-4</v>
      </c>
      <c r="M23" s="4" cm="1">
        <f t="array" ref="M23">_FV(A23,"Beta")</f>
        <v>0.4123</v>
      </c>
      <c r="N23" s="5" cm="1">
        <f t="array" ref="N23">_FV(A23,"Volume")</f>
        <v>10477732</v>
      </c>
      <c r="O23" s="4" cm="1">
        <f t="array" ref="O23">_FV(A23,"P/E",TRUE)</f>
        <v>24.827999999999999</v>
      </c>
      <c r="P23" s="5" cm="1">
        <f t="array" ref="P23">_FV(A23,"Employees")</f>
        <v>99000</v>
      </c>
      <c r="Q23" t="str" cm="1">
        <f t="array" ref="Q23">_FV(A23,"Exchange")</f>
        <v>New York Stock Exchange</v>
      </c>
    </row>
    <row r="24" spans="1:17" x14ac:dyDescent="0.25">
      <c r="A24" t="e" vm="24">
        <v>#VALUE!</v>
      </c>
      <c r="B24" t="str">
        <f t="shared" si="0"/>
        <v>CRM</v>
      </c>
      <c r="C24" t="str">
        <f t="shared" si="1"/>
        <v>SALESFORCE.COM, INC.</v>
      </c>
      <c r="D24" t="str">
        <f t="shared" si="2"/>
        <v>Salesforce.com, Inc. is a provider of enterprise software, delivered through the cloud, with a focus on customer relationship management (CRM). The Company focuses on cloud, mobile, social, Internet of Things (IoT) and artificial intelligence technologies. The Company's service offerings are configured and integrated with other platforms and enterprise applications. The Company delivers its service offerings via Internet browsers and on mobile devices. Its Customer Success Platform is a portfolio of service offerings providing sales force automation, customer service and support, marketing automation, digital commerce, community management, analytics, application development, IoT integration, collaborative productivity tools and its professional cloud services. Its cloud service offerings include Sales Cloud, Service Cloud, Marketing Cloud, Commerce Cloud, Community Cloud, Analytics Cloud, Salesforce Quip and Salesforce Platform.</v>
      </c>
      <c r="E24" t="str">
        <f t="shared" si="3"/>
        <v>Software &amp; IT Services</v>
      </c>
      <c r="F24" s="2" cm="1">
        <f t="array" ref="F24">_FV(A24,"Price")</f>
        <v>238.1</v>
      </c>
      <c r="G24" s="2">
        <f t="shared" si="4"/>
        <v>243.5</v>
      </c>
      <c r="H24" s="2">
        <f t="shared" si="5"/>
        <v>237.83</v>
      </c>
      <c r="I24" s="2">
        <f t="shared" si="6"/>
        <v>239.22</v>
      </c>
      <c r="J24" s="2">
        <f t="shared" si="7"/>
        <v>225.83</v>
      </c>
      <c r="K24" s="3">
        <f t="shared" si="8"/>
        <v>219583600000</v>
      </c>
      <c r="L24" s="1">
        <f t="shared" si="9"/>
        <v>5.4332999999999999E-2</v>
      </c>
      <c r="M24" s="4" cm="1">
        <f t="array" ref="M24">_FV(A24,"Beta")</f>
        <v>1.0922000000000001</v>
      </c>
      <c r="N24" s="5" cm="1">
        <f t="array" ref="N24">_FV(A24,"Volume")</f>
        <v>17814520</v>
      </c>
      <c r="O24" s="4" cm="1">
        <f t="array" ref="O24">_FV(A24,"P/E",TRUE)</f>
        <v>46.998100000000001</v>
      </c>
      <c r="P24" s="5" cm="1">
        <f t="array" ref="P24">_FV(A24,"Employees")</f>
        <v>56606</v>
      </c>
      <c r="Q24" t="str" cm="1">
        <f t="array" ref="Q24">_FV(A24,"Exchange")</f>
        <v>New York Stock Exchange</v>
      </c>
    </row>
    <row r="25" spans="1:17" x14ac:dyDescent="0.25">
      <c r="A25" t="e" vm="25">
        <v>#VALUE!</v>
      </c>
      <c r="B25" t="str">
        <f t="shared" si="0"/>
        <v>TRV</v>
      </c>
      <c r="C25" t="str">
        <f t="shared" si="1"/>
        <v>The Travelers Companies, Inc.</v>
      </c>
      <c r="D25" t="str">
        <f t="shared" si="2"/>
        <v>The Travelers Companies, Inc. is a holding company. The Company's segments include Business and International Insurance; Bond &amp; Specialty Insurance, and Personal Insurance. Through its subsidiaries, it provides commercial and personal property and casualty insurance products and services. The Business and International Insurance segment offers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a range of primarily domestic customers, utilizing various degrees of financially-based underwriting approaches. The Personal Insurance segment writes a range of property and casualty insurance covering individuals' personal risks.</v>
      </c>
      <c r="E25" t="str">
        <f t="shared" si="3"/>
        <v>Insurance</v>
      </c>
      <c r="F25" s="2" cm="1">
        <f t="array" ref="F25">_FV(A25,"Price")</f>
        <v>159.69999999999999</v>
      </c>
      <c r="G25" s="2">
        <f t="shared" si="4"/>
        <v>160.4</v>
      </c>
      <c r="H25" s="2">
        <f t="shared" si="5"/>
        <v>158.96</v>
      </c>
      <c r="I25" s="2">
        <f t="shared" si="6"/>
        <v>160.4</v>
      </c>
      <c r="J25" s="2">
        <f t="shared" si="7"/>
        <v>159.35</v>
      </c>
      <c r="K25" s="3">
        <f t="shared" si="8"/>
        <v>40159000000</v>
      </c>
      <c r="L25" s="1">
        <f t="shared" si="9"/>
        <v>2.196E-3</v>
      </c>
      <c r="M25" s="4" cm="1">
        <f t="array" ref="M25">_FV(A25,"Beta")</f>
        <v>0.75429999999999997</v>
      </c>
      <c r="N25" s="5" cm="1">
        <f t="array" ref="N25">_FV(A25,"Volume")</f>
        <v>963346</v>
      </c>
      <c r="O25" s="4" cm="1">
        <f t="array" ref="O25">_FV(A25,"P/E",TRUE)</f>
        <v>14.446199999999999</v>
      </c>
      <c r="P25" s="5" cm="1">
        <f t="array" ref="P25">_FV(A25,"Employees")</f>
        <v>30600</v>
      </c>
      <c r="Q25" t="str" cm="1">
        <f t="array" ref="Q25">_FV(A25,"Exchange")</f>
        <v>New York Stock Exchange</v>
      </c>
    </row>
    <row r="26" spans="1:17" x14ac:dyDescent="0.25">
      <c r="A26" t="e" vm="26">
        <v>#VALUE!</v>
      </c>
      <c r="B26" t="str">
        <f t="shared" si="0"/>
        <v>UNH</v>
      </c>
      <c r="C26" t="str">
        <f t="shared" si="1"/>
        <v>UNITEDHEALTH GROUP INCORPORATED</v>
      </c>
      <c r="D26" t="str">
        <f t="shared" si="2"/>
        <v>UnitedHealth Group Incorporated is a health and well-being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benefits to an array of customers and markets, and includes UnitedHealthcare Employer &amp; Individual, UnitedHealthcare Medicare &amp; Retirement, UnitedHealthcare Community &amp; State, and UnitedHealthcare Global businesses. Optum is a health services business serving the healthcare marketplace, including payers, care providers, employers, governments, life sciences companies and consumers, through its OptumHealth, OptumInsight and OptumRx businesses. OptumInsight provides services, technology and healthcare solutions to participants in the healthcare industry. OptumRx provides retail network contracting, purchasing and clinical solutions.</v>
      </c>
      <c r="E26" t="str">
        <f t="shared" si="3"/>
        <v>Healthcare Providers &amp; Services</v>
      </c>
      <c r="F26" s="2" cm="1">
        <f t="array" ref="F26">_FV(A26,"Price")</f>
        <v>411.92</v>
      </c>
      <c r="G26" s="2">
        <f t="shared" si="4"/>
        <v>415.47</v>
      </c>
      <c r="H26" s="2">
        <f t="shared" si="5"/>
        <v>410.02</v>
      </c>
      <c r="I26" s="2">
        <f t="shared" si="6"/>
        <v>412.7</v>
      </c>
      <c r="J26" s="2">
        <f t="shared" si="7"/>
        <v>412.7</v>
      </c>
      <c r="K26" s="3">
        <f t="shared" si="8"/>
        <v>388729800000</v>
      </c>
      <c r="L26" s="1">
        <f t="shared" si="9"/>
        <v>-1.89E-3</v>
      </c>
      <c r="M26" s="4" cm="1">
        <f t="array" ref="M26">_FV(A26,"Beta")</f>
        <v>0.77569999999999995</v>
      </c>
      <c r="N26" s="5" cm="1">
        <f t="array" ref="N26">_FV(A26,"Volume")</f>
        <v>2368025</v>
      </c>
      <c r="O26" s="4" cm="1">
        <f t="array" ref="O26">_FV(A26,"P/E",TRUE)</f>
        <v>23.458100000000002</v>
      </c>
      <c r="P26" s="5" cm="1">
        <f t="array" ref="P26">_FV(A26,"Employees")</f>
        <v>330000</v>
      </c>
      <c r="Q26" t="str" cm="1">
        <f t="array" ref="Q26">_FV(A26,"Exchange")</f>
        <v>New York Stock Exchange</v>
      </c>
    </row>
    <row r="27" spans="1:17" x14ac:dyDescent="0.25">
      <c r="A27" t="e" vm="27">
        <v>#VALUE!</v>
      </c>
      <c r="B27" t="str">
        <f t="shared" si="0"/>
        <v>VZ</v>
      </c>
      <c r="C27" t="str">
        <f t="shared" si="1"/>
        <v>VERIZON COMMUNICATIONS INC.</v>
      </c>
      <c r="D27" t="str">
        <f t="shared" si="2"/>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c>
      <c r="E27" t="str">
        <f t="shared" si="3"/>
        <v>Telecommunications Services</v>
      </c>
      <c r="F27" s="2" cm="1">
        <f t="array" ref="F27">_FV(A27,"Price")</f>
        <v>56.49</v>
      </c>
      <c r="G27" s="2">
        <f t="shared" si="4"/>
        <v>56.64</v>
      </c>
      <c r="H27" s="2">
        <f t="shared" si="5"/>
        <v>56.29</v>
      </c>
      <c r="I27" s="2">
        <f t="shared" si="6"/>
        <v>56.35</v>
      </c>
      <c r="J27" s="2">
        <f t="shared" si="7"/>
        <v>56.29</v>
      </c>
      <c r="K27" s="3">
        <f t="shared" si="8"/>
        <v>233872400000</v>
      </c>
      <c r="L27" s="1">
        <f t="shared" si="9"/>
        <v>3.5530000000000002E-3</v>
      </c>
      <c r="M27" s="4" cm="1">
        <f t="array" ref="M27">_FV(A27,"Beta")</f>
        <v>0.44979999999999998</v>
      </c>
      <c r="N27" s="5" cm="1">
        <f t="array" ref="N27">_FV(A27,"Volume")</f>
        <v>14027803</v>
      </c>
      <c r="O27" s="4" cm="1">
        <f t="array" ref="O27">_FV(A27,"P/E",TRUE)</f>
        <v>12.342599999999999</v>
      </c>
      <c r="P27" s="5" cm="1">
        <f t="array" ref="P27">_FV(A27,"Employees")</f>
        <v>135500</v>
      </c>
      <c r="Q27" t="str" cm="1">
        <f t="array" ref="Q27">_FV(A27,"Exchange")</f>
        <v>New York Stock Exchange</v>
      </c>
    </row>
    <row r="28" spans="1:17" x14ac:dyDescent="0.25">
      <c r="A28" t="e" vm="28">
        <v>#VALUE!</v>
      </c>
      <c r="B28" t="str">
        <f t="shared" si="0"/>
        <v>V</v>
      </c>
      <c r="C28" t="str">
        <f t="shared" si="1"/>
        <v>VISA INC.</v>
      </c>
      <c r="D28" t="str">
        <f t="shared" si="2"/>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c>
      <c r="E28" t="str">
        <f t="shared" si="3"/>
        <v>Software &amp; IT Services</v>
      </c>
      <c r="F28" s="2" cm="1">
        <f t="array" ref="F28">_FV(A28,"Price")</f>
        <v>227.3</v>
      </c>
      <c r="G28" s="2">
        <f t="shared" si="4"/>
        <v>229.43</v>
      </c>
      <c r="H28" s="2">
        <f t="shared" si="5"/>
        <v>227.148</v>
      </c>
      <c r="I28" s="2">
        <f t="shared" si="6"/>
        <v>227.59</v>
      </c>
      <c r="J28" s="2">
        <f t="shared" si="7"/>
        <v>226.86</v>
      </c>
      <c r="K28" s="3">
        <f t="shared" si="8"/>
        <v>484783900000</v>
      </c>
      <c r="L28" s="1">
        <f t="shared" si="9"/>
        <v>1.9400000000000001E-3</v>
      </c>
      <c r="M28" s="4" cm="1">
        <f t="array" ref="M28">_FV(A28,"Beta")</f>
        <v>0.99650000000000005</v>
      </c>
      <c r="N28" s="5" cm="1">
        <f t="array" ref="N28">_FV(A28,"Volume")</f>
        <v>5782053</v>
      </c>
      <c r="O28" s="4" cm="1">
        <f t="array" ref="O28">_FV(A28,"P/E",TRUE)</f>
        <v>52.225299999999997</v>
      </c>
      <c r="P28" s="5" cm="1">
        <f t="array" ref="P28">_FV(A28,"Employees")</f>
        <v>20500</v>
      </c>
      <c r="Q28" t="str" cm="1">
        <f t="array" ref="Q28">_FV(A28,"Exchange")</f>
        <v>New York Stock Exchange</v>
      </c>
    </row>
    <row r="29" spans="1:17" x14ac:dyDescent="0.25">
      <c r="A29" t="e" vm="29">
        <v>#VALUE!</v>
      </c>
      <c r="B29" t="str">
        <f t="shared" si="0"/>
        <v>WBA</v>
      </c>
      <c r="C29" t="str">
        <f t="shared" si="1"/>
        <v>WALGREENS BOOTS ALLIANCE, INC.</v>
      </c>
      <c r="D29" t="str">
        <f t="shared" si="2"/>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c>
      <c r="E29" t="str">
        <f t="shared" si="3"/>
        <v>Food &amp; Drug Retailing</v>
      </c>
      <c r="F29" s="2" cm="1">
        <f t="array" ref="F29">_FV(A29,"Price")</f>
        <v>52.66</v>
      </c>
      <c r="G29" s="2">
        <f t="shared" si="4"/>
        <v>53.71</v>
      </c>
      <c r="H29" s="2">
        <f t="shared" si="5"/>
        <v>52.58</v>
      </c>
      <c r="I29" s="2">
        <f t="shared" si="6"/>
        <v>53.31</v>
      </c>
      <c r="J29" s="2">
        <f t="shared" si="7"/>
        <v>53.04</v>
      </c>
      <c r="K29" s="3">
        <f t="shared" si="8"/>
        <v>45519010000</v>
      </c>
      <c r="L29" s="1">
        <f t="shared" si="9"/>
        <v>-7.1640000000000002E-3</v>
      </c>
      <c r="M29" s="4" cm="1">
        <f t="array" ref="M29">_FV(A29,"Beta")</f>
        <v>0.45610000000000001</v>
      </c>
      <c r="N29" s="5" cm="1">
        <f t="array" ref="N29">_FV(A29,"Volume")</f>
        <v>4553475</v>
      </c>
      <c r="O29" s="4" cm="1">
        <f t="array" ref="O29">_FV(A29,"P/E",TRUE)</f>
        <v>87.096400000000003</v>
      </c>
      <c r="P29" s="5" cm="1">
        <f t="array" ref="P29">_FV(A29,"Employees")</f>
        <v>223000</v>
      </c>
      <c r="Q29" t="str" cm="1">
        <f t="array" ref="Q29">_FV(A29,"Exchange")</f>
        <v>Nasdaq Stock Market</v>
      </c>
    </row>
    <row r="30" spans="1:17" x14ac:dyDescent="0.25">
      <c r="A30" t="e" vm="30">
        <v>#VALUE!</v>
      </c>
      <c r="B30" t="str">
        <f t="shared" si="0"/>
        <v>WMT</v>
      </c>
      <c r="C30" t="str">
        <f t="shared" si="1"/>
        <v>WALMART INC.</v>
      </c>
      <c r="D30" t="str">
        <f t="shared" si="2"/>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c>
      <c r="E30" t="str">
        <f t="shared" si="3"/>
        <v>Food &amp; Drug Retailing</v>
      </c>
      <c r="F30" s="2" cm="1">
        <f t="array" ref="F30">_FV(A30,"Price")</f>
        <v>142.04</v>
      </c>
      <c r="G30" s="2">
        <f t="shared" si="4"/>
        <v>142.44999999999999</v>
      </c>
      <c r="H30" s="2">
        <f t="shared" si="5"/>
        <v>141.63999999999999</v>
      </c>
      <c r="I30" s="2">
        <f t="shared" si="6"/>
        <v>142.03</v>
      </c>
      <c r="J30" s="2">
        <f t="shared" si="7"/>
        <v>141.69</v>
      </c>
      <c r="K30" s="3">
        <f t="shared" si="8"/>
        <v>399598800000</v>
      </c>
      <c r="L30" s="1">
        <f t="shared" si="9"/>
        <v>2.47E-3</v>
      </c>
      <c r="M30" s="4" cm="1">
        <f t="array" ref="M30">_FV(A30,"Beta")</f>
        <v>0.47420000000000001</v>
      </c>
      <c r="N30" s="5" cm="1">
        <f t="array" ref="N30">_FV(A30,"Volume")</f>
        <v>7063303</v>
      </c>
      <c r="O30" s="4" cm="1">
        <f t="array" ref="O30">_FV(A30,"P/E",TRUE)</f>
        <v>32.950600000000001</v>
      </c>
      <c r="P30" s="5" cm="1">
        <f t="array" ref="P30">_FV(A30,"Employees")</f>
        <v>2300000</v>
      </c>
      <c r="Q30" t="str" cm="1">
        <f t="array" ref="Q30">_FV(A30,"Exchange")</f>
        <v>New York Stock Exchange</v>
      </c>
    </row>
    <row r="31" spans="1:17" x14ac:dyDescent="0.25">
      <c r="A31" t="e" vm="31">
        <v>#VALUE!</v>
      </c>
      <c r="B31" t="str">
        <f t="shared" si="0"/>
        <v>DIS</v>
      </c>
      <c r="C31" t="str">
        <f t="shared" si="1"/>
        <v>THE WALT DISNEY COMPANY</v>
      </c>
      <c r="D31" t="str">
        <f t="shared" si="2"/>
        <v>The Walt Disney Company, formerly TWDC Holdco 613 Corp, is a worldwide entertainment company. The Company operates in four business segments: Media Networks, Parks Experiences and Products, Studio Entertainment, and Direct-To-Consumer and International. The media networks segment includes cable and broadcast television networks, television production and distribution operations, domestic television stations, and radio networks and stations. The Company's Walt Disney Imagineering unit designs and develops new theme park concepts and attractions, as well as resort properties. The studio entertainment segment produces and acquires live-action and animated motion pictures, direct-to-video content, musical recordings and live stage plays. The Company also develops and publishes games, primarily for mobile platforms, books, magazines and comic books.</v>
      </c>
      <c r="E31" t="str">
        <f t="shared" si="3"/>
        <v>Media &amp; Publishing</v>
      </c>
      <c r="F31" s="2" cm="1">
        <f t="array" ref="F31">_FV(A31,"Price")</f>
        <v>178.65</v>
      </c>
      <c r="G31" s="2">
        <f t="shared" si="4"/>
        <v>180.14</v>
      </c>
      <c r="H31" s="2">
        <f t="shared" si="5"/>
        <v>178.08</v>
      </c>
      <c r="I31" s="2">
        <f t="shared" si="6"/>
        <v>179.51</v>
      </c>
      <c r="J31" s="2">
        <f t="shared" si="7"/>
        <v>179.04</v>
      </c>
      <c r="K31" s="3">
        <f t="shared" si="8"/>
        <v>324594900000</v>
      </c>
      <c r="L31" s="1">
        <f t="shared" si="9"/>
        <v>-2.1779999999999998E-3</v>
      </c>
      <c r="M31" s="4" cm="1">
        <f t="array" ref="M31">_FV(A31,"Beta")</f>
        <v>1.1962999999999999</v>
      </c>
      <c r="N31" s="5" cm="1">
        <f t="array" ref="N31">_FV(A31,"Volume")</f>
        <v>7130259</v>
      </c>
      <c r="O31" s="4" cm="1">
        <f t="array" ref="O31">_FV(A31,"P/E",TRUE)</f>
        <v>0</v>
      </c>
      <c r="P31" s="5" cm="1">
        <f t="array" ref="P31">_FV(A31,"Employees")</f>
        <v>203000</v>
      </c>
      <c r="Q31" t="str" cm="1">
        <f t="array" ref="Q31">_FV(A31,"Exchange")</f>
        <v>New York Stock Exchange</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Almogi</cp:lastModifiedBy>
  <dcterms:created xsi:type="dcterms:W3CDTF">2021-03-30T10:21:07Z</dcterms:created>
  <dcterms:modified xsi:type="dcterms:W3CDTF">2021-06-24T11:24:11Z</dcterms:modified>
</cp:coreProperties>
</file>