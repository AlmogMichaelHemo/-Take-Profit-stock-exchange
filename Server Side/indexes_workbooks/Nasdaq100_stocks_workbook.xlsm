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חוברת_עבודה_זו" defaultThemeVersion="166925"/>
  <mc:AlternateContent xmlns:mc="http://schemas.openxmlformats.org/markup-compatibility/2006">
    <mc:Choice Requires="x15">
      <x15ac:absPath xmlns:x15ac="http://schemas.microsoft.com/office/spreadsheetml/2010/11/ac" url="c:\users\almogi\desktop\indexes_workbooks\"/>
    </mc:Choice>
  </mc:AlternateContent>
  <xr:revisionPtr revIDLastSave="0" documentId="13_ncr:1_{93937692-E37C-4DB9-91DB-7DAFE55C945F}" xr6:coauthVersionLast="47" xr6:coauthVersionMax="47" xr10:uidLastSave="{00000000-0000-0000-0000-000000000000}"/>
  <bookViews>
    <workbookView xWindow="2688" yWindow="2688" windowWidth="17280" windowHeight="8964" xr2:uid="{8BBBEC8F-3E44-4AB7-A0B5-2010B2F52994}"/>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 i="1" l="1" a="1"/>
  <c r="Q2" i="1" s="1"/>
  <c r="Q3" i="1" a="1"/>
  <c r="Q3" i="1" s="1"/>
  <c r="Q4" i="1" a="1"/>
  <c r="Q4" i="1" s="1"/>
  <c r="Q5" i="1" a="1"/>
  <c r="Q5" i="1" s="1"/>
  <c r="Q6" i="1" a="1"/>
  <c r="Q6" i="1" s="1"/>
  <c r="Q7" i="1" a="1"/>
  <c r="Q7" i="1" s="1"/>
  <c r="Q8" i="1" a="1"/>
  <c r="Q8" i="1" s="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Q51" i="1" a="1"/>
  <c r="Q51" i="1" s="1"/>
  <c r="Q52" i="1" a="1"/>
  <c r="Q52" i="1" s="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P2" i="1" a="1"/>
  <c r="P2" i="1" s="1"/>
  <c r="P3" i="1" a="1"/>
  <c r="P3" i="1" s="1"/>
  <c r="P4" i="1" a="1"/>
  <c r="P4" i="1" s="1"/>
  <c r="P5" i="1" a="1"/>
  <c r="P5" i="1" s="1"/>
  <c r="P6" i="1" a="1"/>
  <c r="P6" i="1" s="1"/>
  <c r="P7" i="1" a="1"/>
  <c r="P7" i="1" s="1"/>
  <c r="P8" i="1" a="1"/>
  <c r="P8" i="1" s="1"/>
  <c r="P9" i="1" a="1"/>
  <c r="P9" i="1" s="1"/>
  <c r="P10" i="1" a="1"/>
  <c r="P10" i="1" s="1"/>
  <c r="P11" i="1" a="1"/>
  <c r="P11" i="1" s="1"/>
  <c r="P12" i="1" a="1"/>
  <c r="P12" i="1" s="1"/>
  <c r="P13" i="1" a="1"/>
  <c r="P13" i="1" s="1"/>
  <c r="P14" i="1" a="1"/>
  <c r="P14" i="1" s="1"/>
  <c r="P15" i="1" a="1"/>
  <c r="P15" i="1" s="1"/>
  <c r="P16" i="1" a="1"/>
  <c r="P16" i="1" s="1"/>
  <c r="P17" i="1" a="1"/>
  <c r="P17" i="1" s="1"/>
  <c r="P18" i="1" a="1"/>
  <c r="P18" i="1" s="1"/>
  <c r="P19" i="1" a="1"/>
  <c r="P19" i="1" s="1"/>
  <c r="P20" i="1" a="1"/>
  <c r="P20" i="1" s="1"/>
  <c r="P21" i="1" a="1"/>
  <c r="P21" i="1" s="1"/>
  <c r="P22" i="1" a="1"/>
  <c r="P22" i="1" s="1"/>
  <c r="P23" i="1" a="1"/>
  <c r="P23" i="1" s="1"/>
  <c r="P24" i="1" a="1"/>
  <c r="P24" i="1" s="1"/>
  <c r="P25" i="1" a="1"/>
  <c r="P25" i="1" s="1"/>
  <c r="P26" i="1" a="1"/>
  <c r="P26" i="1" s="1"/>
  <c r="P27" i="1" a="1"/>
  <c r="P27" i="1" s="1"/>
  <c r="P28" i="1" a="1"/>
  <c r="P28" i="1" s="1"/>
  <c r="P29" i="1" a="1"/>
  <c r="P29" i="1" s="1"/>
  <c r="P30" i="1" a="1"/>
  <c r="P30" i="1" s="1"/>
  <c r="P31" i="1" a="1"/>
  <c r="P31" i="1" s="1"/>
  <c r="P32" i="1" a="1"/>
  <c r="P32" i="1" s="1"/>
  <c r="P33" i="1" a="1"/>
  <c r="P33" i="1" s="1"/>
  <c r="P34" i="1" a="1"/>
  <c r="P34" i="1" s="1"/>
  <c r="P35" i="1" a="1"/>
  <c r="P35" i="1" s="1"/>
  <c r="P36" i="1" a="1"/>
  <c r="P36" i="1" s="1"/>
  <c r="P37" i="1" a="1"/>
  <c r="P37" i="1" s="1"/>
  <c r="P38" i="1" a="1"/>
  <c r="P38" i="1" s="1"/>
  <c r="P39" i="1" a="1"/>
  <c r="P39" i="1" s="1"/>
  <c r="P40" i="1" a="1"/>
  <c r="P40" i="1" s="1"/>
  <c r="P41" i="1" a="1"/>
  <c r="P41" i="1" s="1"/>
  <c r="P42" i="1" a="1"/>
  <c r="P42" i="1" s="1"/>
  <c r="P43" i="1" a="1"/>
  <c r="P43" i="1" s="1"/>
  <c r="P44" i="1" a="1"/>
  <c r="P44" i="1" s="1"/>
  <c r="P45" i="1" a="1"/>
  <c r="P45" i="1" s="1"/>
  <c r="P46" i="1" a="1"/>
  <c r="P46" i="1" s="1"/>
  <c r="P47" i="1" a="1"/>
  <c r="P47" i="1" s="1"/>
  <c r="P48" i="1" a="1"/>
  <c r="P48" i="1" s="1"/>
  <c r="P49" i="1" a="1"/>
  <c r="P49" i="1" s="1"/>
  <c r="P50" i="1" a="1"/>
  <c r="P50" i="1" s="1"/>
  <c r="P51" i="1" a="1"/>
  <c r="P51" i="1" s="1"/>
  <c r="P52" i="1" a="1"/>
  <c r="P52" i="1" s="1"/>
  <c r="P53" i="1" a="1"/>
  <c r="P53" i="1" s="1"/>
  <c r="P54" i="1" a="1"/>
  <c r="P54" i="1" s="1"/>
  <c r="P55" i="1" a="1"/>
  <c r="P55" i="1" s="1"/>
  <c r="P56" i="1" a="1"/>
  <c r="P56" i="1" s="1"/>
  <c r="P57" i="1" a="1"/>
  <c r="P57" i="1" s="1"/>
  <c r="P58" i="1" a="1"/>
  <c r="P58" i="1" s="1"/>
  <c r="P59" i="1" a="1"/>
  <c r="P59" i="1" s="1"/>
  <c r="P60" i="1" a="1"/>
  <c r="P60" i="1" s="1"/>
  <c r="P61" i="1" a="1"/>
  <c r="P61" i="1" s="1"/>
  <c r="P62" i="1" a="1"/>
  <c r="P62" i="1" s="1"/>
  <c r="P63" i="1" a="1"/>
  <c r="P63" i="1" s="1"/>
  <c r="P64" i="1" a="1"/>
  <c r="P64" i="1" s="1"/>
  <c r="P65" i="1" a="1"/>
  <c r="P65" i="1" s="1"/>
  <c r="P66" i="1" a="1"/>
  <c r="P66" i="1" s="1"/>
  <c r="P67" i="1" a="1"/>
  <c r="P67" i="1" s="1"/>
  <c r="P68" i="1" a="1"/>
  <c r="P68" i="1" s="1"/>
  <c r="P69" i="1" a="1"/>
  <c r="P69" i="1" s="1"/>
  <c r="P70" i="1" a="1"/>
  <c r="P70" i="1" s="1"/>
  <c r="P71" i="1" a="1"/>
  <c r="P71" i="1" s="1"/>
  <c r="P72" i="1" a="1"/>
  <c r="P72" i="1" s="1"/>
  <c r="P73" i="1" a="1"/>
  <c r="P73" i="1" s="1"/>
  <c r="P74" i="1" a="1"/>
  <c r="P74" i="1" s="1"/>
  <c r="P75" i="1" a="1"/>
  <c r="P75" i="1" s="1"/>
  <c r="P76" i="1" a="1"/>
  <c r="P76" i="1" s="1"/>
  <c r="P77" i="1" a="1"/>
  <c r="P77" i="1" s="1"/>
  <c r="P78" i="1" a="1"/>
  <c r="P78" i="1" s="1"/>
  <c r="P79" i="1" a="1"/>
  <c r="P79" i="1" s="1"/>
  <c r="P80" i="1" a="1"/>
  <c r="P80" i="1" s="1"/>
  <c r="P81" i="1" a="1"/>
  <c r="P81" i="1" s="1"/>
  <c r="P82" i="1" a="1"/>
  <c r="P82" i="1" s="1"/>
  <c r="P83" i="1" a="1"/>
  <c r="P83" i="1" s="1"/>
  <c r="P84" i="1" a="1"/>
  <c r="P84" i="1" s="1"/>
  <c r="P85" i="1" a="1"/>
  <c r="P85" i="1" s="1"/>
  <c r="P86" i="1" a="1"/>
  <c r="P86" i="1" s="1"/>
  <c r="P87" i="1" a="1"/>
  <c r="P87" i="1" s="1"/>
  <c r="P88" i="1" a="1"/>
  <c r="P88" i="1" s="1"/>
  <c r="P89" i="1" a="1"/>
  <c r="P89" i="1" s="1"/>
  <c r="P90" i="1" a="1"/>
  <c r="P90" i="1" s="1"/>
  <c r="P91" i="1" a="1"/>
  <c r="P91" i="1" s="1"/>
  <c r="P92" i="1" a="1"/>
  <c r="P92" i="1" s="1"/>
  <c r="P93" i="1" a="1"/>
  <c r="P93" i="1" s="1"/>
  <c r="P94" i="1" a="1"/>
  <c r="P94" i="1" s="1"/>
  <c r="P95" i="1" a="1"/>
  <c r="P95" i="1" s="1"/>
  <c r="P96" i="1" a="1"/>
  <c r="P96" i="1" s="1"/>
  <c r="P97" i="1" a="1"/>
  <c r="P97" i="1" s="1"/>
  <c r="P98" i="1" a="1"/>
  <c r="P98" i="1" s="1"/>
  <c r="P99" i="1" a="1"/>
  <c r="P99" i="1" s="1"/>
  <c r="P100" i="1" a="1"/>
  <c r="P100" i="1" s="1"/>
  <c r="P101" i="1" a="1"/>
  <c r="P101" i="1" s="1"/>
  <c r="P102" i="1" a="1"/>
  <c r="P102" i="1" s="1"/>
  <c r="P103" i="1" a="1"/>
  <c r="P103" i="1" s="1"/>
  <c r="O2" i="1" a="1"/>
  <c r="O2" i="1" s="1"/>
  <c r="O3" i="1" a="1"/>
  <c r="O3" i="1" s="1"/>
  <c r="O4" i="1" a="1"/>
  <c r="O4" i="1" s="1"/>
  <c r="O5" i="1" a="1"/>
  <c r="O5" i="1" s="1"/>
  <c r="O6" i="1" a="1"/>
  <c r="O6" i="1" s="1"/>
  <c r="O7" i="1" a="1"/>
  <c r="O7" i="1" s="1"/>
  <c r="O8" i="1" a="1"/>
  <c r="O8" i="1" s="1"/>
  <c r="O9" i="1" a="1"/>
  <c r="O9" i="1" s="1"/>
  <c r="O10" i="1" a="1"/>
  <c r="O10" i="1" s="1"/>
  <c r="O11" i="1" a="1"/>
  <c r="O11" i="1" s="1"/>
  <c r="O12" i="1" a="1"/>
  <c r="O12" i="1" s="1"/>
  <c r="O13" i="1" a="1"/>
  <c r="O13" i="1" s="1"/>
  <c r="O14" i="1" a="1"/>
  <c r="O14" i="1" s="1"/>
  <c r="O15" i="1" a="1"/>
  <c r="O15" i="1" s="1"/>
  <c r="O16" i="1" a="1"/>
  <c r="O16" i="1" s="1"/>
  <c r="O17" i="1" a="1"/>
  <c r="O17" i="1" s="1"/>
  <c r="O18" i="1" a="1"/>
  <c r="O18" i="1" s="1"/>
  <c r="O19" i="1" a="1"/>
  <c r="O19" i="1" s="1"/>
  <c r="O20" i="1" a="1"/>
  <c r="O20" i="1" s="1"/>
  <c r="O21" i="1" a="1"/>
  <c r="O21" i="1" s="1"/>
  <c r="O22" i="1" a="1"/>
  <c r="O22" i="1" s="1"/>
  <c r="O23" i="1" a="1"/>
  <c r="O23" i="1" s="1"/>
  <c r="O24" i="1" a="1"/>
  <c r="O24" i="1" s="1"/>
  <c r="O25" i="1" a="1"/>
  <c r="O25" i="1" s="1"/>
  <c r="O26" i="1" a="1"/>
  <c r="O26" i="1" s="1"/>
  <c r="O27" i="1" a="1"/>
  <c r="O27" i="1" s="1"/>
  <c r="O28" i="1" a="1"/>
  <c r="O28" i="1" s="1"/>
  <c r="O29" i="1" a="1"/>
  <c r="O29" i="1" s="1"/>
  <c r="O30" i="1" a="1"/>
  <c r="O30" i="1" s="1"/>
  <c r="O31" i="1" a="1"/>
  <c r="O31" i="1" s="1"/>
  <c r="O32" i="1" a="1"/>
  <c r="O32" i="1" s="1"/>
  <c r="O33" i="1" a="1"/>
  <c r="O33" i="1" s="1"/>
  <c r="O34" i="1" a="1"/>
  <c r="O34" i="1" s="1"/>
  <c r="O35" i="1" a="1"/>
  <c r="O35" i="1" s="1"/>
  <c r="O36" i="1" a="1"/>
  <c r="O36" i="1" s="1"/>
  <c r="O37" i="1" a="1"/>
  <c r="O37" i="1" s="1"/>
  <c r="O38" i="1" a="1"/>
  <c r="O38" i="1" s="1"/>
  <c r="O39" i="1" a="1"/>
  <c r="O39" i="1" s="1"/>
  <c r="O40" i="1" a="1"/>
  <c r="O40" i="1" s="1"/>
  <c r="O41" i="1" a="1"/>
  <c r="O41" i="1" s="1"/>
  <c r="O42" i="1" a="1"/>
  <c r="O42" i="1" s="1"/>
  <c r="O43" i="1" a="1"/>
  <c r="O43" i="1" s="1"/>
  <c r="O44" i="1" a="1"/>
  <c r="O44" i="1" s="1"/>
  <c r="O45" i="1" a="1"/>
  <c r="O45" i="1" s="1"/>
  <c r="O46" i="1" a="1"/>
  <c r="O46" i="1" s="1"/>
  <c r="O47" i="1" a="1"/>
  <c r="O47" i="1" s="1"/>
  <c r="O48" i="1" a="1"/>
  <c r="O48" i="1" s="1"/>
  <c r="O49" i="1" a="1"/>
  <c r="O49" i="1" s="1"/>
  <c r="O50" i="1" a="1"/>
  <c r="O50" i="1" s="1"/>
  <c r="O51" i="1" a="1"/>
  <c r="O51" i="1" s="1"/>
  <c r="O52" i="1" a="1"/>
  <c r="O52" i="1" s="1"/>
  <c r="O53" i="1" a="1"/>
  <c r="O53" i="1" s="1"/>
  <c r="O54" i="1" a="1"/>
  <c r="O54" i="1" s="1"/>
  <c r="O55" i="1" a="1"/>
  <c r="O55" i="1" s="1"/>
  <c r="O56" i="1" a="1"/>
  <c r="O56" i="1" s="1"/>
  <c r="O57" i="1" a="1"/>
  <c r="O57" i="1" s="1"/>
  <c r="O58" i="1" a="1"/>
  <c r="O58" i="1" s="1"/>
  <c r="O59" i="1" a="1"/>
  <c r="O59" i="1" s="1"/>
  <c r="O60" i="1" a="1"/>
  <c r="O60" i="1" s="1"/>
  <c r="O61" i="1" a="1"/>
  <c r="O61" i="1" s="1"/>
  <c r="O62" i="1" a="1"/>
  <c r="O62" i="1" s="1"/>
  <c r="O63" i="1" a="1"/>
  <c r="O63" i="1" s="1"/>
  <c r="O64" i="1" a="1"/>
  <c r="O64" i="1" s="1"/>
  <c r="O65" i="1" a="1"/>
  <c r="O65" i="1" s="1"/>
  <c r="O66" i="1" a="1"/>
  <c r="O66" i="1" s="1"/>
  <c r="O67" i="1" a="1"/>
  <c r="O67" i="1" s="1"/>
  <c r="O68" i="1" a="1"/>
  <c r="O68" i="1" s="1"/>
  <c r="O69" i="1" a="1"/>
  <c r="O69" i="1" s="1"/>
  <c r="O70" i="1" a="1"/>
  <c r="O70" i="1" s="1"/>
  <c r="O71" i="1" a="1"/>
  <c r="O71" i="1" s="1"/>
  <c r="O72" i="1" a="1"/>
  <c r="O72" i="1" s="1"/>
  <c r="O73" i="1" a="1"/>
  <c r="O73" i="1" s="1"/>
  <c r="O74" i="1" a="1"/>
  <c r="O74" i="1" s="1"/>
  <c r="O75" i="1" a="1"/>
  <c r="O75" i="1" s="1"/>
  <c r="O76" i="1" a="1"/>
  <c r="O76" i="1" s="1"/>
  <c r="O77" i="1" a="1"/>
  <c r="O77" i="1" s="1"/>
  <c r="O78" i="1" a="1"/>
  <c r="O78" i="1" s="1"/>
  <c r="O79" i="1" a="1"/>
  <c r="O79" i="1" s="1"/>
  <c r="O80" i="1" a="1"/>
  <c r="O80" i="1" s="1"/>
  <c r="O81" i="1" a="1"/>
  <c r="O81" i="1" s="1"/>
  <c r="O82" i="1" a="1"/>
  <c r="O82" i="1" s="1"/>
  <c r="O83" i="1" a="1"/>
  <c r="O83" i="1" s="1"/>
  <c r="O84" i="1" a="1"/>
  <c r="O84" i="1" s="1"/>
  <c r="O85" i="1" a="1"/>
  <c r="O85" i="1" s="1"/>
  <c r="O86" i="1" a="1"/>
  <c r="O86" i="1" s="1"/>
  <c r="O87" i="1" a="1"/>
  <c r="O87" i="1" s="1"/>
  <c r="O88" i="1" a="1"/>
  <c r="O88" i="1" s="1"/>
  <c r="O89" i="1" a="1"/>
  <c r="O89" i="1" s="1"/>
  <c r="O90" i="1" a="1"/>
  <c r="O90" i="1" s="1"/>
  <c r="O91" i="1" a="1"/>
  <c r="O91" i="1" s="1"/>
  <c r="O92" i="1" a="1"/>
  <c r="O92" i="1" s="1"/>
  <c r="O93" i="1" a="1"/>
  <c r="O93" i="1" s="1"/>
  <c r="O94" i="1" a="1"/>
  <c r="O94" i="1" s="1"/>
  <c r="O95" i="1" a="1"/>
  <c r="O95" i="1" s="1"/>
  <c r="O96" i="1" a="1"/>
  <c r="O96" i="1" s="1"/>
  <c r="O97" i="1" a="1"/>
  <c r="O97" i="1" s="1"/>
  <c r="O98" i="1" a="1"/>
  <c r="O98" i="1" s="1"/>
  <c r="O99" i="1" a="1"/>
  <c r="O99" i="1" s="1"/>
  <c r="O100" i="1" a="1"/>
  <c r="O100" i="1" s="1"/>
  <c r="O101" i="1" a="1"/>
  <c r="O101" i="1" s="1"/>
  <c r="O102" i="1" a="1"/>
  <c r="O102" i="1" s="1"/>
  <c r="O103" i="1" a="1"/>
  <c r="O103" i="1" s="1"/>
  <c r="N2" i="1" a="1"/>
  <c r="N2"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N27" i="1" a="1"/>
  <c r="N27" i="1" s="1"/>
  <c r="N28" i="1" a="1"/>
  <c r="N28" i="1" s="1"/>
  <c r="N29" i="1" a="1"/>
  <c r="N29" i="1" s="1"/>
  <c r="N30" i="1" a="1"/>
  <c r="N30" i="1" s="1"/>
  <c r="N31" i="1" a="1"/>
  <c r="N31" i="1" s="1"/>
  <c r="N32" i="1" a="1"/>
  <c r="N32" i="1" s="1"/>
  <c r="N33" i="1" a="1"/>
  <c r="N33" i="1" s="1"/>
  <c r="N34" i="1" a="1"/>
  <c r="N34" i="1" s="1"/>
  <c r="N35" i="1" a="1"/>
  <c r="N35" i="1" s="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48" i="1" a="1"/>
  <c r="N48" i="1" s="1"/>
  <c r="N49" i="1" a="1"/>
  <c r="N49" i="1" s="1"/>
  <c r="N50" i="1" a="1"/>
  <c r="N50" i="1" s="1"/>
  <c r="N51" i="1" a="1"/>
  <c r="N51" i="1" s="1"/>
  <c r="N52" i="1" a="1"/>
  <c r="N52" i="1" s="1"/>
  <c r="N53" i="1" a="1"/>
  <c r="N53" i="1" s="1"/>
  <c r="N54" i="1" a="1"/>
  <c r="N54" i="1" s="1"/>
  <c r="N55" i="1" a="1"/>
  <c r="N55" i="1" s="1"/>
  <c r="N56" i="1" a="1"/>
  <c r="N56" i="1" s="1"/>
  <c r="N57" i="1" a="1"/>
  <c r="N57" i="1" s="1"/>
  <c r="N58" i="1" a="1"/>
  <c r="N58" i="1" s="1"/>
  <c r="N59" i="1" a="1"/>
  <c r="N59" i="1" s="1"/>
  <c r="N60" i="1" a="1"/>
  <c r="N60" i="1" s="1"/>
  <c r="N61" i="1" a="1"/>
  <c r="N61" i="1" s="1"/>
  <c r="N62" i="1" a="1"/>
  <c r="N62" i="1" s="1"/>
  <c r="N63" i="1" a="1"/>
  <c r="N63" i="1" s="1"/>
  <c r="N64" i="1" a="1"/>
  <c r="N64" i="1" s="1"/>
  <c r="N65" i="1" a="1"/>
  <c r="N65" i="1" s="1"/>
  <c r="N66" i="1" a="1"/>
  <c r="N66" i="1" s="1"/>
  <c r="N67" i="1" a="1"/>
  <c r="N67" i="1" s="1"/>
  <c r="N68" i="1" a="1"/>
  <c r="N68" i="1" s="1"/>
  <c r="N69" i="1" a="1"/>
  <c r="N69" i="1" s="1"/>
  <c r="N70" i="1" a="1"/>
  <c r="N70" i="1" s="1"/>
  <c r="N71" i="1" a="1"/>
  <c r="N71" i="1" s="1"/>
  <c r="N72" i="1" a="1"/>
  <c r="N72" i="1" s="1"/>
  <c r="N73" i="1" a="1"/>
  <c r="N73" i="1" s="1"/>
  <c r="N74" i="1" a="1"/>
  <c r="N74" i="1" s="1"/>
  <c r="N75" i="1" a="1"/>
  <c r="N75" i="1" s="1"/>
  <c r="N76" i="1" a="1"/>
  <c r="N76" i="1" s="1"/>
  <c r="N77" i="1" a="1"/>
  <c r="N77" i="1" s="1"/>
  <c r="N78" i="1" a="1"/>
  <c r="N78" i="1" s="1"/>
  <c r="N79" i="1" a="1"/>
  <c r="N79" i="1" s="1"/>
  <c r="N80" i="1" a="1"/>
  <c r="N80" i="1" s="1"/>
  <c r="N81" i="1" a="1"/>
  <c r="N81" i="1" s="1"/>
  <c r="N82" i="1" a="1"/>
  <c r="N82" i="1" s="1"/>
  <c r="N83" i="1" a="1"/>
  <c r="N83" i="1" s="1"/>
  <c r="N84" i="1" a="1"/>
  <c r="N84" i="1" s="1"/>
  <c r="N85" i="1" a="1"/>
  <c r="N85" i="1" s="1"/>
  <c r="N86" i="1" a="1"/>
  <c r="N86" i="1" s="1"/>
  <c r="N87" i="1" a="1"/>
  <c r="N87" i="1" s="1"/>
  <c r="N88" i="1" a="1"/>
  <c r="N88" i="1" s="1"/>
  <c r="N89" i="1" a="1"/>
  <c r="N89" i="1" s="1"/>
  <c r="N90" i="1" a="1"/>
  <c r="N90" i="1" s="1"/>
  <c r="N91" i="1" a="1"/>
  <c r="N91" i="1" s="1"/>
  <c r="N92" i="1" a="1"/>
  <c r="N92" i="1" s="1"/>
  <c r="N93" i="1" a="1"/>
  <c r="N93" i="1" s="1"/>
  <c r="N94" i="1" a="1"/>
  <c r="N94" i="1" s="1"/>
  <c r="N95" i="1" a="1"/>
  <c r="N95" i="1" s="1"/>
  <c r="N96" i="1" a="1"/>
  <c r="N96" i="1" s="1"/>
  <c r="N97" i="1" a="1"/>
  <c r="N97" i="1" s="1"/>
  <c r="N98" i="1" a="1"/>
  <c r="N98" i="1" s="1"/>
  <c r="N99" i="1" a="1"/>
  <c r="N99" i="1" s="1"/>
  <c r="N100" i="1" a="1"/>
  <c r="N100" i="1" s="1"/>
  <c r="N101" i="1" a="1"/>
  <c r="N101" i="1" s="1"/>
  <c r="N102" i="1" a="1"/>
  <c r="N102" i="1" s="1"/>
  <c r="N103" i="1" a="1"/>
  <c r="N103" i="1" s="1"/>
  <c r="M2" i="1" a="1"/>
  <c r="M2" i="1" s="1"/>
  <c r="M3" i="1" a="1"/>
  <c r="M3" i="1" s="1"/>
  <c r="M4" i="1" a="1"/>
  <c r="M4" i="1" s="1"/>
  <c r="M5" i="1" a="1"/>
  <c r="M5" i="1" s="1"/>
  <c r="M6" i="1" a="1"/>
  <c r="M6" i="1" s="1"/>
  <c r="M7" i="1" a="1"/>
  <c r="M7" i="1" s="1"/>
  <c r="M8" i="1" a="1"/>
  <c r="M8" i="1" s="1"/>
  <c r="M9" i="1" a="1"/>
  <c r="M9" i="1" s="1"/>
  <c r="M10" i="1" a="1"/>
  <c r="M10" i="1" s="1"/>
  <c r="M11" i="1" a="1"/>
  <c r="M11" i="1" s="1"/>
  <c r="M12" i="1" a="1"/>
  <c r="M12" i="1" s="1"/>
  <c r="M13" i="1" a="1"/>
  <c r="M13" i="1" s="1"/>
  <c r="M14" i="1" a="1"/>
  <c r="M14" i="1" s="1"/>
  <c r="M15" i="1" a="1"/>
  <c r="M15" i="1" s="1"/>
  <c r="M16" i="1" a="1"/>
  <c r="M16" i="1" s="1"/>
  <c r="M17" i="1" a="1"/>
  <c r="M17" i="1" s="1"/>
  <c r="M18" i="1" a="1"/>
  <c r="M18" i="1" s="1"/>
  <c r="M19" i="1" a="1"/>
  <c r="M19" i="1" s="1"/>
  <c r="M20" i="1" a="1"/>
  <c r="M20" i="1" s="1"/>
  <c r="M21" i="1" a="1"/>
  <c r="M21" i="1" s="1"/>
  <c r="M22" i="1" a="1"/>
  <c r="M22" i="1" s="1"/>
  <c r="M23" i="1" a="1"/>
  <c r="M23" i="1" s="1"/>
  <c r="M24" i="1" a="1"/>
  <c r="M24" i="1" s="1"/>
  <c r="M25" i="1" a="1"/>
  <c r="M25" i="1" s="1"/>
  <c r="M26" i="1" a="1"/>
  <c r="M26" i="1" s="1"/>
  <c r="M27" i="1" a="1"/>
  <c r="M27" i="1" s="1"/>
  <c r="M28" i="1" a="1"/>
  <c r="M28" i="1" s="1"/>
  <c r="M29" i="1" a="1"/>
  <c r="M29" i="1" s="1"/>
  <c r="M30" i="1" a="1"/>
  <c r="M30" i="1" s="1"/>
  <c r="M31" i="1" a="1"/>
  <c r="M31" i="1" s="1"/>
  <c r="M32" i="1" a="1"/>
  <c r="M32" i="1" s="1"/>
  <c r="M33" i="1" a="1"/>
  <c r="M33" i="1" s="1"/>
  <c r="M34" i="1" a="1"/>
  <c r="M34" i="1" s="1"/>
  <c r="M35" i="1" a="1"/>
  <c r="M35" i="1" s="1"/>
  <c r="M36" i="1" a="1"/>
  <c r="M36" i="1" s="1"/>
  <c r="M37" i="1" a="1"/>
  <c r="M37" i="1" s="1"/>
  <c r="M38" i="1" a="1"/>
  <c r="M38" i="1" s="1"/>
  <c r="M39" i="1" a="1"/>
  <c r="M39" i="1" s="1"/>
  <c r="M40" i="1" a="1"/>
  <c r="M40" i="1" s="1"/>
  <c r="M41" i="1" a="1"/>
  <c r="M41" i="1" s="1"/>
  <c r="M42" i="1" a="1"/>
  <c r="M42" i="1" s="1"/>
  <c r="M43" i="1" a="1"/>
  <c r="M43" i="1" s="1"/>
  <c r="M44" i="1" a="1"/>
  <c r="M44" i="1" s="1"/>
  <c r="M45" i="1" a="1"/>
  <c r="M45" i="1" s="1"/>
  <c r="M46" i="1" a="1"/>
  <c r="M46" i="1" s="1"/>
  <c r="M47" i="1" a="1"/>
  <c r="M47" i="1" s="1"/>
  <c r="M48" i="1" a="1"/>
  <c r="M48" i="1" s="1"/>
  <c r="M49" i="1" a="1"/>
  <c r="M49" i="1" s="1"/>
  <c r="M50" i="1" a="1"/>
  <c r="M50" i="1" s="1"/>
  <c r="M51" i="1" a="1"/>
  <c r="M51" i="1" s="1"/>
  <c r="M52" i="1" a="1"/>
  <c r="M52" i="1" s="1"/>
  <c r="M53" i="1" a="1"/>
  <c r="M53" i="1" s="1"/>
  <c r="M54" i="1" a="1"/>
  <c r="M54" i="1" s="1"/>
  <c r="M55" i="1" a="1"/>
  <c r="M55" i="1" s="1"/>
  <c r="M56" i="1" a="1"/>
  <c r="M56" i="1" s="1"/>
  <c r="M57" i="1" a="1"/>
  <c r="M57" i="1" s="1"/>
  <c r="M58" i="1" a="1"/>
  <c r="M58" i="1" s="1"/>
  <c r="M59" i="1" a="1"/>
  <c r="M59" i="1" s="1"/>
  <c r="M60" i="1" a="1"/>
  <c r="M60" i="1" s="1"/>
  <c r="M61" i="1" a="1"/>
  <c r="M61" i="1" s="1"/>
  <c r="M62" i="1" a="1"/>
  <c r="M62" i="1" s="1"/>
  <c r="M63" i="1" a="1"/>
  <c r="M63" i="1" s="1"/>
  <c r="M64" i="1" a="1"/>
  <c r="M64" i="1" s="1"/>
  <c r="M65" i="1" a="1"/>
  <c r="M65" i="1" s="1"/>
  <c r="M66" i="1" a="1"/>
  <c r="M66" i="1" s="1"/>
  <c r="M67" i="1" a="1"/>
  <c r="M67" i="1" s="1"/>
  <c r="M68" i="1" a="1"/>
  <c r="M68" i="1" s="1"/>
  <c r="M69" i="1" a="1"/>
  <c r="M69" i="1" s="1"/>
  <c r="M70" i="1" a="1"/>
  <c r="M70" i="1" s="1"/>
  <c r="M71" i="1" a="1"/>
  <c r="M71" i="1" s="1"/>
  <c r="M72" i="1" a="1"/>
  <c r="M72" i="1" s="1"/>
  <c r="M73" i="1" a="1"/>
  <c r="M73" i="1" s="1"/>
  <c r="M74" i="1" a="1"/>
  <c r="M74" i="1" s="1"/>
  <c r="M75" i="1" a="1"/>
  <c r="M75" i="1" s="1"/>
  <c r="M76" i="1" a="1"/>
  <c r="M76" i="1" s="1"/>
  <c r="M77" i="1" a="1"/>
  <c r="M77" i="1" s="1"/>
  <c r="M78" i="1" a="1"/>
  <c r="M78" i="1" s="1"/>
  <c r="M79" i="1" a="1"/>
  <c r="M79" i="1" s="1"/>
  <c r="M80" i="1" a="1"/>
  <c r="M80" i="1" s="1"/>
  <c r="M81" i="1" a="1"/>
  <c r="M81" i="1" s="1"/>
  <c r="M82" i="1" a="1"/>
  <c r="M82" i="1" s="1"/>
  <c r="M83" i="1" a="1"/>
  <c r="M83" i="1" s="1"/>
  <c r="M84" i="1" a="1"/>
  <c r="M84" i="1" s="1"/>
  <c r="M85" i="1" a="1"/>
  <c r="M85" i="1" s="1"/>
  <c r="M86" i="1" a="1"/>
  <c r="M86" i="1" s="1"/>
  <c r="M87" i="1" a="1"/>
  <c r="M87" i="1" s="1"/>
  <c r="M88" i="1" a="1"/>
  <c r="M88" i="1" s="1"/>
  <c r="M89" i="1" a="1"/>
  <c r="M89" i="1" s="1"/>
  <c r="M90" i="1" a="1"/>
  <c r="M90" i="1" s="1"/>
  <c r="M91" i="1" a="1"/>
  <c r="M91" i="1" s="1"/>
  <c r="M92" i="1" a="1"/>
  <c r="M92" i="1" s="1"/>
  <c r="M93" i="1" a="1"/>
  <c r="M93" i="1" s="1"/>
  <c r="M94" i="1" a="1"/>
  <c r="M94" i="1" s="1"/>
  <c r="M95" i="1" a="1"/>
  <c r="M95" i="1" s="1"/>
  <c r="M96" i="1" a="1"/>
  <c r="M96" i="1" s="1"/>
  <c r="M97" i="1" a="1"/>
  <c r="M97" i="1" s="1"/>
  <c r="M98" i="1" a="1"/>
  <c r="M98" i="1" s="1"/>
  <c r="M99" i="1" a="1"/>
  <c r="M99" i="1" s="1"/>
  <c r="M100" i="1" a="1"/>
  <c r="M100" i="1" s="1"/>
  <c r="M101" i="1" a="1"/>
  <c r="M101" i="1" s="1"/>
  <c r="M102" i="1" a="1"/>
  <c r="M102" i="1" s="1"/>
  <c r="M103" i="1" a="1"/>
  <c r="M103" i="1" s="1"/>
  <c r="L2" i="1" l="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04">
    <bk>
      <extLst>
        <ext uri="{3e2802c4-a4d2-4d8b-9148-e3be6c30e623}">
          <xlrd:rvb i="6"/>
        </ext>
      </extLst>
    </bk>
    <bk>
      <extLst>
        <ext uri="{3e2802c4-a4d2-4d8b-9148-e3be6c30e623}">
          <xlrd:rvb i="12"/>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30"/>
        </ext>
      </extLst>
    </bk>
    <bk>
      <extLst>
        <ext uri="{3e2802c4-a4d2-4d8b-9148-e3be6c30e623}">
          <xlrd:rvb i="33"/>
        </ext>
      </extLst>
    </bk>
    <bk>
      <extLst>
        <ext uri="{3e2802c4-a4d2-4d8b-9148-e3be6c30e623}">
          <xlrd:rvb i="39"/>
        </ext>
      </extLst>
    </bk>
    <bk>
      <extLst>
        <ext uri="{3e2802c4-a4d2-4d8b-9148-e3be6c30e623}">
          <xlrd:rvb i="42"/>
        </ext>
      </extLst>
    </bk>
    <bk>
      <extLst>
        <ext uri="{3e2802c4-a4d2-4d8b-9148-e3be6c30e623}">
          <xlrd:rvb i="48"/>
        </ext>
      </extLst>
    </bk>
    <bk>
      <extLst>
        <ext uri="{3e2802c4-a4d2-4d8b-9148-e3be6c30e623}">
          <xlrd:rvb i="54"/>
        </ext>
      </extLst>
    </bk>
    <bk>
      <extLst>
        <ext uri="{3e2802c4-a4d2-4d8b-9148-e3be6c30e623}">
          <xlrd:rvb i="60"/>
        </ext>
      </extLst>
    </bk>
    <bk>
      <extLst>
        <ext uri="{3e2802c4-a4d2-4d8b-9148-e3be6c30e623}">
          <xlrd:rvb i="66"/>
        </ext>
      </extLst>
    </bk>
    <bk>
      <extLst>
        <ext uri="{3e2802c4-a4d2-4d8b-9148-e3be6c30e623}">
          <xlrd:rvb i="72"/>
        </ext>
      </extLst>
    </bk>
    <bk>
      <extLst>
        <ext uri="{3e2802c4-a4d2-4d8b-9148-e3be6c30e623}">
          <xlrd:rvb i="79"/>
        </ext>
      </extLst>
    </bk>
    <bk>
      <extLst>
        <ext uri="{3e2802c4-a4d2-4d8b-9148-e3be6c30e623}">
          <xlrd:rvb i="85"/>
        </ext>
      </extLst>
    </bk>
    <bk>
      <extLst>
        <ext uri="{3e2802c4-a4d2-4d8b-9148-e3be6c30e623}">
          <xlrd:rvb i="86"/>
        </ext>
      </extLst>
    </bk>
    <bk>
      <extLst>
        <ext uri="{3e2802c4-a4d2-4d8b-9148-e3be6c30e623}">
          <xlrd:rvb i="92"/>
        </ext>
      </extLst>
    </bk>
    <bk>
      <extLst>
        <ext uri="{3e2802c4-a4d2-4d8b-9148-e3be6c30e623}">
          <xlrd:rvb i="98"/>
        </ext>
      </extLst>
    </bk>
    <bk>
      <extLst>
        <ext uri="{3e2802c4-a4d2-4d8b-9148-e3be6c30e623}">
          <xlrd:rvb i="101"/>
        </ext>
      </extLst>
    </bk>
    <bk>
      <extLst>
        <ext uri="{3e2802c4-a4d2-4d8b-9148-e3be6c30e623}">
          <xlrd:rvb i="104"/>
        </ext>
      </extLst>
    </bk>
    <bk>
      <extLst>
        <ext uri="{3e2802c4-a4d2-4d8b-9148-e3be6c30e623}">
          <xlrd:rvb i="107"/>
        </ext>
      </extLst>
    </bk>
    <bk>
      <extLst>
        <ext uri="{3e2802c4-a4d2-4d8b-9148-e3be6c30e623}">
          <xlrd:rvb i="113"/>
        </ext>
      </extLst>
    </bk>
    <bk>
      <extLst>
        <ext uri="{3e2802c4-a4d2-4d8b-9148-e3be6c30e623}">
          <xlrd:rvb i="119"/>
        </ext>
      </extLst>
    </bk>
    <bk>
      <extLst>
        <ext uri="{3e2802c4-a4d2-4d8b-9148-e3be6c30e623}">
          <xlrd:rvb i="125"/>
        </ext>
      </extLst>
    </bk>
    <bk>
      <extLst>
        <ext uri="{3e2802c4-a4d2-4d8b-9148-e3be6c30e623}">
          <xlrd:rvb i="132"/>
        </ext>
      </extLst>
    </bk>
    <bk>
      <extLst>
        <ext uri="{3e2802c4-a4d2-4d8b-9148-e3be6c30e623}">
          <xlrd:rvb i="138"/>
        </ext>
      </extLst>
    </bk>
    <bk>
      <extLst>
        <ext uri="{3e2802c4-a4d2-4d8b-9148-e3be6c30e623}">
          <xlrd:rvb i="141"/>
        </ext>
      </extLst>
    </bk>
    <bk>
      <extLst>
        <ext uri="{3e2802c4-a4d2-4d8b-9148-e3be6c30e623}">
          <xlrd:rvb i="147"/>
        </ext>
      </extLst>
    </bk>
    <bk>
      <extLst>
        <ext uri="{3e2802c4-a4d2-4d8b-9148-e3be6c30e623}">
          <xlrd:rvb i="153"/>
        </ext>
      </extLst>
    </bk>
    <bk>
      <extLst>
        <ext uri="{3e2802c4-a4d2-4d8b-9148-e3be6c30e623}">
          <xlrd:rvb i="159"/>
        </ext>
      </extLst>
    </bk>
    <bk>
      <extLst>
        <ext uri="{3e2802c4-a4d2-4d8b-9148-e3be6c30e623}">
          <xlrd:rvb i="165"/>
        </ext>
      </extLst>
    </bk>
    <bk>
      <extLst>
        <ext uri="{3e2802c4-a4d2-4d8b-9148-e3be6c30e623}">
          <xlrd:rvb i="168"/>
        </ext>
      </extLst>
    </bk>
    <bk>
      <extLst>
        <ext uri="{3e2802c4-a4d2-4d8b-9148-e3be6c30e623}">
          <xlrd:rvb i="174"/>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0"/>
        </ext>
      </extLst>
    </bk>
    <bk>
      <extLst>
        <ext uri="{3e2802c4-a4d2-4d8b-9148-e3be6c30e623}">
          <xlrd:rvb i="196"/>
        </ext>
      </extLst>
    </bk>
    <bk>
      <extLst>
        <ext uri="{3e2802c4-a4d2-4d8b-9148-e3be6c30e623}">
          <xlrd:rvb i="202"/>
        </ext>
      </extLst>
    </bk>
    <bk>
      <extLst>
        <ext uri="{3e2802c4-a4d2-4d8b-9148-e3be6c30e623}">
          <xlrd:rvb i="208"/>
        </ext>
      </extLst>
    </bk>
    <bk>
      <extLst>
        <ext uri="{3e2802c4-a4d2-4d8b-9148-e3be6c30e623}">
          <xlrd:rvb i="214"/>
        </ext>
      </extLst>
    </bk>
    <bk>
      <extLst>
        <ext uri="{3e2802c4-a4d2-4d8b-9148-e3be6c30e623}">
          <xlrd:rvb i="220"/>
        </ext>
      </extLst>
    </bk>
    <bk>
      <extLst>
        <ext uri="{3e2802c4-a4d2-4d8b-9148-e3be6c30e623}">
          <xlrd:rvb i="226"/>
        </ext>
      </extLst>
    </bk>
    <bk>
      <extLst>
        <ext uri="{3e2802c4-a4d2-4d8b-9148-e3be6c30e623}">
          <xlrd:rvb i="232"/>
        </ext>
      </extLst>
    </bk>
    <bk>
      <extLst>
        <ext uri="{3e2802c4-a4d2-4d8b-9148-e3be6c30e623}">
          <xlrd:rvb i="238"/>
        </ext>
      </extLst>
    </bk>
    <bk>
      <extLst>
        <ext uri="{3e2802c4-a4d2-4d8b-9148-e3be6c30e623}">
          <xlrd:rvb i="241"/>
        </ext>
      </extLst>
    </bk>
    <bk>
      <extLst>
        <ext uri="{3e2802c4-a4d2-4d8b-9148-e3be6c30e623}">
          <xlrd:rvb i="244"/>
        </ext>
      </extLst>
    </bk>
    <bk>
      <extLst>
        <ext uri="{3e2802c4-a4d2-4d8b-9148-e3be6c30e623}">
          <xlrd:rvb i="247"/>
        </ext>
      </extLst>
    </bk>
    <bk>
      <extLst>
        <ext uri="{3e2802c4-a4d2-4d8b-9148-e3be6c30e623}">
          <xlrd:rvb i="253"/>
        </ext>
      </extLst>
    </bk>
    <bk>
      <extLst>
        <ext uri="{3e2802c4-a4d2-4d8b-9148-e3be6c30e623}">
          <xlrd:rvb i="256"/>
        </ext>
      </extLst>
    </bk>
    <bk>
      <extLst>
        <ext uri="{3e2802c4-a4d2-4d8b-9148-e3be6c30e623}">
          <xlrd:rvb i="259"/>
        </ext>
      </extLst>
    </bk>
    <bk>
      <extLst>
        <ext uri="{3e2802c4-a4d2-4d8b-9148-e3be6c30e623}">
          <xlrd:rvb i="265"/>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3"/>
        </ext>
      </extLst>
    </bk>
    <bk>
      <extLst>
        <ext uri="{3e2802c4-a4d2-4d8b-9148-e3be6c30e623}">
          <xlrd:rvb i="289"/>
        </ext>
      </extLst>
    </bk>
    <bk>
      <extLst>
        <ext uri="{3e2802c4-a4d2-4d8b-9148-e3be6c30e623}">
          <xlrd:rvb i="295"/>
        </ext>
      </extLst>
    </bk>
    <bk>
      <extLst>
        <ext uri="{3e2802c4-a4d2-4d8b-9148-e3be6c30e623}">
          <xlrd:rvb i="302"/>
        </ext>
      </extLst>
    </bk>
    <bk>
      <extLst>
        <ext uri="{3e2802c4-a4d2-4d8b-9148-e3be6c30e623}">
          <xlrd:rvb i="308"/>
        </ext>
      </extLst>
    </bk>
    <bk>
      <extLst>
        <ext uri="{3e2802c4-a4d2-4d8b-9148-e3be6c30e623}">
          <xlrd:rvb i="314"/>
        </ext>
      </extLst>
    </bk>
    <bk>
      <extLst>
        <ext uri="{3e2802c4-a4d2-4d8b-9148-e3be6c30e623}">
          <xlrd:rvb i="320"/>
        </ext>
      </extLst>
    </bk>
    <bk>
      <extLst>
        <ext uri="{3e2802c4-a4d2-4d8b-9148-e3be6c30e623}">
          <xlrd:rvb i="326"/>
        </ext>
      </extLst>
    </bk>
    <bk>
      <extLst>
        <ext uri="{3e2802c4-a4d2-4d8b-9148-e3be6c30e623}">
          <xlrd:rvb i="332"/>
        </ext>
      </extLst>
    </bk>
    <bk>
      <extLst>
        <ext uri="{3e2802c4-a4d2-4d8b-9148-e3be6c30e623}">
          <xlrd:rvb i="335"/>
        </ext>
      </extLst>
    </bk>
    <bk>
      <extLst>
        <ext uri="{3e2802c4-a4d2-4d8b-9148-e3be6c30e623}">
          <xlrd:rvb i="341"/>
        </ext>
      </extLst>
    </bk>
    <bk>
      <extLst>
        <ext uri="{3e2802c4-a4d2-4d8b-9148-e3be6c30e623}">
          <xlrd:rvb i="347"/>
        </ext>
      </extLst>
    </bk>
    <bk>
      <extLst>
        <ext uri="{3e2802c4-a4d2-4d8b-9148-e3be6c30e623}">
          <xlrd:rvb i="350"/>
        </ext>
      </extLst>
    </bk>
    <bk>
      <extLst>
        <ext uri="{3e2802c4-a4d2-4d8b-9148-e3be6c30e623}">
          <xlrd:rvb i="356"/>
        </ext>
      </extLst>
    </bk>
    <bk>
      <extLst>
        <ext uri="{3e2802c4-a4d2-4d8b-9148-e3be6c30e623}">
          <xlrd:rvb i="359"/>
        </ext>
      </extLst>
    </bk>
    <bk>
      <extLst>
        <ext uri="{3e2802c4-a4d2-4d8b-9148-e3be6c30e623}">
          <xlrd:rvb i="362"/>
        </ext>
      </extLst>
    </bk>
    <bk>
      <extLst>
        <ext uri="{3e2802c4-a4d2-4d8b-9148-e3be6c30e623}">
          <xlrd:rvb i="368"/>
        </ext>
      </extLst>
    </bk>
    <bk>
      <extLst>
        <ext uri="{3e2802c4-a4d2-4d8b-9148-e3be6c30e623}">
          <xlrd:rvb i="374"/>
        </ext>
      </extLst>
    </bk>
    <bk>
      <extLst>
        <ext uri="{3e2802c4-a4d2-4d8b-9148-e3be6c30e623}">
          <xlrd:rvb i="380"/>
        </ext>
      </extLst>
    </bk>
    <bk>
      <extLst>
        <ext uri="{3e2802c4-a4d2-4d8b-9148-e3be6c30e623}">
          <xlrd:rvb i="383"/>
        </ext>
      </extLst>
    </bk>
    <bk>
      <extLst>
        <ext uri="{3e2802c4-a4d2-4d8b-9148-e3be6c30e623}">
          <xlrd:rvb i="389"/>
        </ext>
      </extLst>
    </bk>
    <bk>
      <extLst>
        <ext uri="{3e2802c4-a4d2-4d8b-9148-e3be6c30e623}">
          <xlrd:rvb i="395"/>
        </ext>
      </extLst>
    </bk>
    <bk>
      <extLst>
        <ext uri="{3e2802c4-a4d2-4d8b-9148-e3be6c30e623}">
          <xlrd:rvb i="401"/>
        </ext>
      </extLst>
    </bk>
    <bk>
      <extLst>
        <ext uri="{3e2802c4-a4d2-4d8b-9148-e3be6c30e623}">
          <xlrd:rvb i="407"/>
        </ext>
      </extLst>
    </bk>
    <bk>
      <extLst>
        <ext uri="{3e2802c4-a4d2-4d8b-9148-e3be6c30e623}">
          <xlrd:rvb i="410"/>
        </ext>
      </extLst>
    </bk>
    <bk>
      <extLst>
        <ext uri="{3e2802c4-a4d2-4d8b-9148-e3be6c30e623}">
          <xlrd:rvb i="416"/>
        </ext>
      </extLst>
    </bk>
    <bk>
      <extLst>
        <ext uri="{3e2802c4-a4d2-4d8b-9148-e3be6c30e623}">
          <xlrd:rvb i="419"/>
        </ext>
      </extLst>
    </bk>
    <bk>
      <extLst>
        <ext uri="{3e2802c4-a4d2-4d8b-9148-e3be6c30e623}">
          <xlrd:rvb i="425"/>
        </ext>
      </extLst>
    </bk>
    <bk>
      <extLst>
        <ext uri="{3e2802c4-a4d2-4d8b-9148-e3be6c30e623}">
          <xlrd:rvb i="431"/>
        </ext>
      </extLst>
    </bk>
    <bk>
      <extLst>
        <ext uri="{3e2802c4-a4d2-4d8b-9148-e3be6c30e623}">
          <xlrd:rvb i="437"/>
        </ext>
      </extLst>
    </bk>
    <bk>
      <extLst>
        <ext uri="{3e2802c4-a4d2-4d8b-9148-e3be6c30e623}">
          <xlrd:rvb i="440"/>
        </ext>
      </extLst>
    </bk>
    <bk>
      <extLst>
        <ext uri="{3e2802c4-a4d2-4d8b-9148-e3be6c30e623}">
          <xlrd:rvb i="446"/>
        </ext>
      </extLst>
    </bk>
    <bk>
      <extLst>
        <ext uri="{3e2802c4-a4d2-4d8b-9148-e3be6c30e623}">
          <xlrd:rvb i="449"/>
        </ext>
      </extLst>
    </bk>
    <bk>
      <extLst>
        <ext uri="{3e2802c4-a4d2-4d8b-9148-e3be6c30e623}">
          <xlrd:rvb i="452"/>
        </ext>
      </extLst>
    </bk>
    <bk>
      <extLst>
        <ext uri="{3e2802c4-a4d2-4d8b-9148-e3be6c30e623}">
          <xlrd:rvb i="455"/>
        </ext>
      </extLst>
    </bk>
    <bk>
      <extLst>
        <ext uri="{3e2802c4-a4d2-4d8b-9148-e3be6c30e623}">
          <xlrd:rvb i="461"/>
        </ext>
      </extLst>
    </bk>
    <bk>
      <extLst>
        <ext uri="{3e2802c4-a4d2-4d8b-9148-e3be6c30e623}">
          <xlrd:rvb i="467"/>
        </ext>
      </extLst>
    </bk>
    <bk>
      <extLst>
        <ext uri="{3e2802c4-a4d2-4d8b-9148-e3be6c30e623}">
          <xlrd:rvb i="473"/>
        </ext>
      </extLst>
    </bk>
    <bk>
      <extLst>
        <ext uri="{3e2802c4-a4d2-4d8b-9148-e3be6c30e623}">
          <xlrd:rvb i="479"/>
        </ext>
      </extLst>
    </bk>
    <bk>
      <extLst>
        <ext uri="{3e2802c4-a4d2-4d8b-9148-e3be6c30e623}">
          <xlrd:rvb i="485"/>
        </ext>
      </extLst>
    </bk>
    <bk>
      <extLst>
        <ext uri="{3e2802c4-a4d2-4d8b-9148-e3be6c30e623}">
          <xlrd:rvb i="491"/>
        </ext>
      </extLst>
    </bk>
    <bk>
      <extLst>
        <ext uri="{3e2802c4-a4d2-4d8b-9148-e3be6c30e623}">
          <xlrd:rvb i="497"/>
        </ext>
      </extLst>
    </bk>
    <bk>
      <extLst>
        <ext uri="{3e2802c4-a4d2-4d8b-9148-e3be6c30e623}">
          <xlrd:rvb i="503"/>
        </ext>
      </extLst>
    </bk>
    <bk>
      <extLst>
        <ext uri="{3e2802c4-a4d2-4d8b-9148-e3be6c30e623}">
          <xlrd:rvb i="509"/>
        </ext>
      </extLst>
    </bk>
    <bk>
      <extLst>
        <ext uri="{3e2802c4-a4d2-4d8b-9148-e3be6c30e623}">
          <xlrd:rvb i="515"/>
        </ext>
      </extLst>
    </bk>
    <bk>
      <extLst>
        <ext uri="{3e2802c4-a4d2-4d8b-9148-e3be6c30e623}">
          <xlrd:rvb i="521"/>
        </ext>
      </extLst>
    </bk>
    <bk>
      <extLst>
        <ext uri="{3e2802c4-a4d2-4d8b-9148-e3be6c30e623}">
          <xlrd:rvb i="527"/>
        </ext>
      </extLst>
    </bk>
    <bk>
      <extLst>
        <ext uri="{3e2802c4-a4d2-4d8b-9148-e3be6c30e623}">
          <xlrd:rvb i="533"/>
        </ext>
      </extLst>
    </bk>
  </futureMetadata>
  <futureMetadata name="XLDAPR" count="1">
    <bk>
      <extLst>
        <ext uri="{bdbb8cdc-fa1e-496e-a857-3c3f30c029c3}">
          <xda:dynamicArrayProperties fDynamic="1" fCollapsed="0"/>
        </ext>
      </extLst>
    </bk>
  </futureMetadata>
  <cellMetadata count="1">
    <bk>
      <rc t="2" v="0"/>
    </bk>
  </cellMetadata>
  <valueMetadata count="104">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valueMetadata>
</metadata>
</file>

<file path=xl/sharedStrings.xml><?xml version="1.0" encoding="utf-8"?>
<sst xmlns="http://schemas.openxmlformats.org/spreadsheetml/2006/main" count="17" uniqueCount="17">
  <si>
    <t>stock</t>
  </si>
  <si>
    <t>ticker</t>
  </si>
  <si>
    <t>name</t>
  </si>
  <si>
    <t>description</t>
  </si>
  <si>
    <t>industry</t>
  </si>
  <si>
    <t>price</t>
  </si>
  <si>
    <t>high</t>
  </si>
  <si>
    <t>low</t>
  </si>
  <si>
    <t>open</t>
  </si>
  <si>
    <t>close</t>
  </si>
  <si>
    <t>market cap</t>
  </si>
  <si>
    <t>change</t>
  </si>
  <si>
    <t>beta</t>
  </si>
  <si>
    <t>volume</t>
  </si>
  <si>
    <t>PE</t>
  </si>
  <si>
    <t>employees</t>
  </si>
  <si>
    <t>exchange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</si>
</sst>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5" formatCode="_([$$-409]* #,##0_);_([$$-409]* \(#,##0\);_([$$-409]* &quot;-&quot;_);_(@_)"/>
    <numFmt numFmtId="166" formatCode="_([$$-409]* #,##0.00_);_([$$-409]* \(#,##0.00\);_([$$-409]* &quot;-&quot;??_);_(@_)"/>
    <numFmt numFmtId="167" formatCode="_ [$¥-480]* #,##0_ ;_ [$¥-480]* \-#,##0_ ;_ [$¥-480]* &quot;-&quot;_ ;_ @_ "/>
    <numFmt numFmtId="168" formatCode="_([$€-2]\ * #,##0_);_([$€-2]\ * \(#,##0\);_([$€-2]\ * &quot;-&quot;_);_(@_)"/>
  </numFmts>
  <fonts count="1" x14ac:knownFonts="1">
    <font>
      <sz val="11"/>
      <color theme="1"/>
      <name val="Arial"/>
      <family val="2"/>
      <charset val="177"/>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166" fontId="0" fillId="0" borderId="0" xfId="0" applyNumberFormat="1"/>
    <xf numFmtId="165" fontId="0" fillId="0" borderId="0" xfId="0" applyNumberFormat="1"/>
    <xf numFmtId="168" fontId="0" fillId="0" borderId="0" xfId="0" applyNumberFormat="1"/>
    <xf numFmtId="167" fontId="0" fillId="0" borderId="0" xfId="0" applyNumberFormat="1"/>
    <xf numFmtId="10" fontId="0" fillId="0" borderId="0" xfId="0" applyNumberFormat="1"/>
    <xf numFmtId="4" fontId="0" fillId="0" borderId="0" xfId="0" applyNumberForma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microsoft.com/office/2006/relationships/vbaProject" Target="vbaProject.bin"/><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534">
  <rv s="0">
    <v>http://en.wikipedia.org/wiki/Public_domain</v>
    <v>Public domain</v>
  </rv>
  <rv s="0">
    <v>http://en.wikipedia.org/wiki/Activision_Blizzard</v>
    <v>Wikipedia</v>
  </rv>
  <rv s="1">
    <v>0</v>
    <v>1</v>
  </rv>
  <rv s="2">
    <v>6</v>
    <v>https://www.bing.com/th?id=AMMS_eb453375bdf3af024dec0a3b4be34c46&amp;qlt=95</v>
    <v>2</v>
    <v>0</v>
    <v>https://www.bing.com/images/search?form=xlimg&amp;q=activision+blizzard</v>
    <v>Image of ACTIVISION BLIZZARD, INC.</v>
  </rv>
  <rv s="0">
    <v>https://www.bing.com/financeapi/forcetrigger?t=a1nxoc&amp;q=XNAS%3aATVI&amp;form=skydnc</v>
    <v>Learn more on Bing</v>
  </rv>
  <rv s="3">
    <v>en-US</v>
    <v>a1nxoc</v>
    <v>268435456</v>
    <v>1</v>
    <v>0</v>
    <v>Powered by Refinitiv</v>
    <v>0</v>
    <v>ACTIVISION BLIZZARD, INC. (XNAS:ATVI)</v>
    <v>3</v>
    <v>4</v>
    <v>Finance</v>
    <v>5</v>
    <v>104.53</v>
    <v>66.591999999999999</v>
    <v>0.60540000000000005</v>
    <v>1.1299999999999999</v>
    <v>1.1849E-2</v>
    <v>USD</v>
    <v>Activision Blizzard, Inc. is a developer and publisher of interactive entertainment content and services. The Company develops and distributes content and services across various gaming platforms, including video game consoles, personal computers (PC) and mobile devices. Its segments include Activision Publishing, Inc. (Activision), Blizzard Entertainment, Inc. (Blizzard), King Digital Entertainment (King) and Other. Activision is a developer and publisher of interactive software products and content. Blizzard is engaged in developing and publishing of interactive software products and entertainment content, particularly in PC gaming. King is a mobile entertainment company. It is engaged in other businesses, including The Major League Gaming (MLG) business; The Activision Blizzard Studios (Studios) business, and The Activision Blizzard Distribution (Distribution) business. It also develops products spanning other genres, including action/adventure, role-playing and simulation.</v>
    <v>9500</v>
    <v>Nasdaq Stock Market</v>
    <v>XNAS</v>
    <v>XNAS</v>
    <v>3100 OCEAN PARK BLVD, SANTA MONICA, CA, 90405-3032 US</v>
    <v>96.77</v>
    <v>3</v>
    <v>Software &amp; IT Services</v>
    <v>Stock</v>
    <v>44340.999667464843</v>
    <v>4</v>
    <v>95.82</v>
    <v>74982121200</v>
    <v>ACTIVISION BLIZZARD, INC.</v>
    <v>ACTIVISION BLIZZARD, INC.</v>
    <v>95.93</v>
    <v>32.5458</v>
    <v>95.37</v>
    <v>96.5</v>
    <v>777016800</v>
    <v>ATVI</v>
    <v>ACTIVISION BLIZZARD, INC. (XNAS:ATVI)</v>
    <v>1352</v>
    <v>6478396</v>
    <v>2000</v>
  </rv>
  <rv s="4">
    <v>5</v>
  </rv>
  <rv s="0">
    <v>http://commons.wikimedia.org/wiki/File:Adobe_Systems_logo_and_wordmark.svg</v>
    <v>commons.wikimedia.org</v>
  </rv>
  <rv s="1">
    <v>0</v>
    <v>7</v>
  </rv>
  <rv s="2">
    <v>6</v>
    <v>https://www.bing.com/th?id=AMMS_8f9887bbe9a0de55785480179eb55aa9&amp;qlt=95</v>
    <v>8</v>
    <v>0</v>
    <v>https://www.bing.com/images/search?form=xlimg&amp;q=adobe+systems</v>
    <v>Image of ADOBE INC.</v>
  </rv>
  <rv s="0">
    <v>https://www.bing.com/financeapi/forcetrigger?t=a1mv7w&amp;q=XNAS%3aADBE&amp;form=skydnc</v>
    <v>Learn more on Bing</v>
  </rv>
  <rv s="3">
    <v>en-US</v>
    <v>a1mv7w</v>
    <v>268435456</v>
    <v>1</v>
    <v>0</v>
    <v>Powered by Refinitiv</v>
    <v>0</v>
    <v>ADOBE INC. (XNAS:ADBE)</v>
    <v>3</v>
    <v>4</v>
    <v>Finance</v>
    <v>5</v>
    <v>536.88</v>
    <v>361.44</v>
    <v>0.94969999999999999</v>
    <v>9.76</v>
    <v>1.9997000000000001E-2</v>
    <v>USD</v>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v>22516</v>
    <v>Nasdaq Stock Market</v>
    <v>XNAS</v>
    <v>XNAS</v>
    <v>345 PARK AVE, SAN JOSE, CA, 95110-2704 US</v>
    <v>499.99</v>
    <v>9</v>
    <v>Software &amp; IT Services</v>
    <v>Stock</v>
    <v>44340.999232812501</v>
    <v>10</v>
    <v>492.01</v>
    <v>237962740000</v>
    <v>ADOBE INC.</v>
    <v>ADOBE INC.</v>
    <v>494.64</v>
    <v>43.292700000000004</v>
    <v>488.07</v>
    <v>497.83</v>
    <v>478000000</v>
    <v>ADBE</v>
    <v>ADOBE INC. (XNAS:ADBE)</v>
    <v>3392</v>
    <v>1880400</v>
    <v>1997</v>
  </rv>
  <rv s="4">
    <v>11</v>
  </rv>
  <rv s="0">
    <v>http://en.wikipedia.org/wiki/Advanced_Micro_Devices</v>
    <v>Wikipedia</v>
  </rv>
  <rv s="1">
    <v>0</v>
    <v>13</v>
  </rv>
  <rv s="2">
    <v>6</v>
    <v>https://www.bing.com/th?id=AMMS_fbc39ac25bb1332e8095cd72ec19dc8e&amp;qlt=95</v>
    <v>14</v>
    <v>0</v>
    <v>https://www.bing.com/images/search?form=xlimg&amp;q=advanced+micro+devices</v>
    <v>Image of ADVANCED MICRO DEVICES, INC.</v>
  </rv>
  <rv s="0">
    <v>https://www.bing.com/financeapi/forcetrigger?t=a1ndww&amp;q=XNAS%3aAMD&amp;form=skydnc</v>
    <v>Learn more on Bing</v>
  </rv>
  <rv s="3">
    <v>en-US</v>
    <v>a1ndww</v>
    <v>268435456</v>
    <v>1</v>
    <v>0</v>
    <v>Powered by Refinitiv</v>
    <v>0</v>
    <v>ADVANCED MICRO DEVICES, INC. (XNAS:AMD)</v>
    <v>3</v>
    <v>4</v>
    <v>Finance</v>
    <v>5</v>
    <v>99.23</v>
    <v>48.42</v>
    <v>2.0347</v>
    <v>0.27</v>
    <v>3.4989999999999999E-3</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12600</v>
    <v>Nasdaq Stock Market</v>
    <v>XNAS</v>
    <v>XNAS</v>
    <v>2485 Augustine Dr, SANTA CLARA, CA, 95054-3002 US</v>
    <v>78.010000000000005</v>
    <v>15</v>
    <v>Semiconductors &amp; Semiconductor Equipment</v>
    <v>Stock</v>
    <v>44340.999893796092</v>
    <v>16</v>
    <v>76.8</v>
    <v>94091226240</v>
    <v>ADVANCED MICRO DEVICES, INC.</v>
    <v>ADVANCED MICRO DEVICES, INC.</v>
    <v>77.260000000000005</v>
    <v>32.872799999999998</v>
    <v>77.17</v>
    <v>77.44</v>
    <v>1215021000</v>
    <v>AMD</v>
    <v>ADVANCED MICRO DEVICES, INC. (XNAS:AMD)</v>
    <v>350471</v>
    <v>48914374</v>
    <v>1969</v>
  </rv>
  <rv s="4">
    <v>17</v>
  </rv>
  <rv s="0">
    <v>https://www.bing.com/financeapi/forcetrigger?t=a1nd1h&amp;q=XNAS%3aALXN&amp;form=skydnc</v>
    <v>Learn more on Bing</v>
  </rv>
  <rv s="5">
    <v>en-US</v>
    <v>a1nd1h</v>
    <v>268435456</v>
    <v>1</v>
    <v>0</v>
    <v>Powered by Refinitiv</v>
    <v>7</v>
    <v>ALEXION PHARMACEUTICALS, INC. (XNAS:ALXN)</v>
    <v>8</v>
    <v>9</v>
    <v>Finance</v>
    <v>5</v>
    <v>179.12</v>
    <v>99.91</v>
    <v>1.2801</v>
    <v>0.32</v>
    <v>1.8010000000000001E-3</v>
    <v>USD</v>
    <v>Alexion Pharmaceuticals, Inc. is a biopharmaceutical company. The Company is focused on the development and commercialization of therapeutic products. The Company’s marketed products include SOLIRIS (eculizumab), Strensiq (asfotase alfa), Kanuma (sebelipase alfa), ULTOMIRIS, Andexxa and Ondexxya. The Company’s clinical development programs include ALXN1210, ALXN1810, ALXN1720, ALXN1830, ALXN1840 and ABY-039. The Company’s ULTOMIRIS is a long-acting C5 inhibitor discovered and developed by Alexion that works by inhibiting the C5 protein in the terminal complement cascade. Its SOLIRIS is an C5 inhibitor discovered and developed by Alexion that works by inhibiting the C5 protein in the terminal complement cascade. SOLIRIS is a humanized monoclonal antibody that effectively blocks terminal complement activity at the doses prescribed.</v>
    <v>3837</v>
    <v>Nasdaq Stock Market</v>
    <v>XNAS</v>
    <v>XNAS</v>
    <v>121 Seaport Blvd, BOSTON, MA, 02210-2050 US</v>
    <v>178.71</v>
    <v>Pharmaceuticals</v>
    <v>Stock</v>
    <v>44340.930145914062</v>
    <v>19</v>
    <v>177.98</v>
    <v>39350258368</v>
    <v>ALEXION PHARMACEUTICALS, INC.</v>
    <v>ALEXION PHARMACEUTICALS, INC.</v>
    <v>178.2</v>
    <v>58.447000000000003</v>
    <v>177.72</v>
    <v>178.04</v>
    <v>221019200</v>
    <v>ALXN</v>
    <v>ALEXION PHARMACEUTICALS, INC. (XNAS:ALXN)</v>
    <v>390</v>
    <v>2096075</v>
    <v>1992</v>
  </rv>
  <rv s="4">
    <v>20</v>
  </rv>
  <rv s="0">
    <v>https://www.bing.com/financeapi/forcetrigger?t=a1na6h&amp;q=XNAS%3aALGN&amp;form=skydnc</v>
    <v>Learn more on Bing</v>
  </rv>
  <rv s="5">
    <v>en-US</v>
    <v>a1na6h</v>
    <v>268435456</v>
    <v>1</v>
    <v>0</v>
    <v>Powered by Refinitiv</v>
    <v>7</v>
    <v>ALIGN TECHNOLOGY, INC. (XNAS:ALGN)</v>
    <v>8</v>
    <v>9</v>
    <v>Finance</v>
    <v>5</v>
    <v>647.20000000000005</v>
    <v>237.24010000000001</v>
    <v>1.6873</v>
    <v>12.7</v>
    <v>2.1461999999999998E-2</v>
    <v>USD</v>
    <v>Align Technology, Inc. designs, manufactures and markets a system of clear aligner therapy, intra-oral scanners and computer-aided design/computer-aided manufacturing (CAD/CAM) digital services used in dentistry, orthodontics and dental records storage. The Company operates through two segments: Clear Aligner segment and Scanner and Services (Scanner) segment. The Clear Aligner segment consists of its Invisalign System, which includes Invisalign Full, Teen and Assist (Comprehensive Products), Express/Lite (Non-Comprehensive Products) and Vivera Retainers, along with its training and ancillary products for treating malocclusion (Non-Case). The Scanner segment consists of intra-oral scanning systems and other services available with the intra-oral scanners that provide digital alternatives to the traditional cast models. The Scanner segment includes its iTero scanner and OrthoCAD services.</v>
    <v>18070</v>
    <v>Nasdaq Stock Market</v>
    <v>XNAS</v>
    <v>XNAS</v>
    <v>410 NORTH SCOTTSDALE ROAD, SUITE 1300, TEMPE, AZ, 85281 US</v>
    <v>611</v>
    <v>Healthcare Equipment &amp; Supplies</v>
    <v>Stock</v>
    <v>44340.951110948437</v>
    <v>22</v>
    <v>594.1</v>
    <v>47834099736</v>
    <v>ALIGN TECHNOLOGY, INC.</v>
    <v>ALIGN TECHNOLOGY, INC.</v>
    <v>596.9</v>
    <v>105.0976</v>
    <v>591.75</v>
    <v>604.45000000000005</v>
    <v>79136570</v>
    <v>ALGN</v>
    <v>ALIGN TECHNOLOGY, INC. (XNAS:ALGN)</v>
    <v>134</v>
    <v>596715</v>
    <v>1997</v>
  </rv>
  <rv s="4">
    <v>23</v>
  </rv>
  <rv s="0">
    <v>http://en.wikipedia.org/wiki/Alphabet_Inc.</v>
    <v>Wikipedia</v>
  </rv>
  <rv s="1">
    <v>0</v>
    <v>25</v>
  </rv>
  <rv s="2">
    <v>6</v>
    <v>https://www.bing.com/th?id=AMMS_91f59ff6c9305ce24b1cf0389cd856f8&amp;qlt=95</v>
    <v>26</v>
    <v>0</v>
    <v>https://www.bing.com/images/search?form=xlimg&amp;q=alphabet+inc.</v>
    <v>Image of ALPHABET INC.</v>
  </rv>
  <rv s="0">
    <v>https://www.bing.com/financeapi/forcetrigger?t=a1u3rw&amp;q=XNAS%3aGOOGL&amp;form=skydnc</v>
    <v>Learn more on Bing</v>
  </rv>
  <rv s="3">
    <v>en-US</v>
    <v>a1u3rw</v>
    <v>268435456</v>
    <v>1</v>
    <v>0</v>
    <v>Powered by Refinitiv</v>
    <v>0</v>
    <v>ALPHABET INC. (XNAS:GOOGL)</v>
    <v>3</v>
    <v>4</v>
    <v>Finance</v>
    <v>5</v>
    <v>2431.38</v>
    <v>1351.65</v>
    <v>1.0177</v>
    <v>66.91</v>
    <v>2.9165999999999997E-2</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139995</v>
    <v>Nasdaq Stock Market</v>
    <v>XNAS</v>
    <v>XNAS</v>
    <v>1600 Amphitheatre Pkwy, MOUNTAIN VIEW, CA, 94043-1351 US</v>
    <v>2365.5500000000002</v>
    <v>27</v>
    <v>Software &amp; IT Services</v>
    <v>Stock</v>
    <v>44340.999991342185</v>
    <v>28</v>
    <v>2311.9549999999999</v>
    <v>1553936000000</v>
    <v>ALPHABET INC.</v>
    <v>ALPHABET INC.</v>
    <v>2314.89</v>
    <v>31.4495</v>
    <v>2294.13</v>
    <v>2361.04</v>
    <v>670163800</v>
    <v>GOOGL</v>
    <v>ALPHABET INC. (XNAS:GOOGL)</v>
    <v>6281</v>
    <v>1690295</v>
    <v>2015</v>
  </rv>
  <rv s="4">
    <v>29</v>
  </rv>
  <rv s="0">
    <v>https://www.bing.com/financeapi/forcetrigger?t=a1u3p2&amp;q=XNAS%3aGOOG&amp;form=skydnc</v>
    <v>Learn more on Bing</v>
  </rv>
  <rv s="3">
    <v>en-US</v>
    <v>a1u3p2</v>
    <v>268435456</v>
    <v>1</v>
    <v>0</v>
    <v>Powered by Refinitiv</v>
    <v>0</v>
    <v>ALPHABET INC. (XNAS:GOOG)</v>
    <v>3</v>
    <v>4</v>
    <v>Finance</v>
    <v>5</v>
    <v>2452.3780000000002</v>
    <v>1347.01</v>
    <v>1.0177</v>
    <v>61.57</v>
    <v>2.6255000000000001E-2</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139995</v>
    <v>Nasdaq Stock Market</v>
    <v>XNAS</v>
    <v>XNAS</v>
    <v>1600 Amphitheatre Pkwy, MOUNTAIN VIEW, CA, 94043-1351 US</v>
    <v>2418.48</v>
    <v>27</v>
    <v>Software &amp; IT Services</v>
    <v>Stock</v>
    <v>44340.999882036718</v>
    <v>31</v>
    <v>2360.11</v>
    <v>1553936000000</v>
    <v>ALPHABET INC.</v>
    <v>ALPHABET INC.</v>
    <v>2367</v>
    <v>32.021700000000003</v>
    <v>2345.1</v>
    <v>2406.67</v>
    <v>670163800</v>
    <v>GOOG</v>
    <v>ALPHABET INC. (XNAS:GOOG)</v>
    <v>5630</v>
    <v>1384204</v>
    <v>2015</v>
  </rv>
  <rv s="4">
    <v>32</v>
  </rv>
  <rv s="0">
    <v>http://en.wikipedia.org/wiki/Amazon_(company)</v>
    <v>Wikipedia</v>
  </rv>
  <rv s="1">
    <v>0</v>
    <v>34</v>
  </rv>
  <rv s="2">
    <v>6</v>
    <v>https://www.bing.com/th?id=AMMS_234d7638413b734c1560bf8e7f642960&amp;qlt=95</v>
    <v>35</v>
    <v>0</v>
    <v>https://www.bing.com/images/search?form=xlimg&amp;q=amazon.com</v>
    <v>Image of AMAZON.COM, INC.</v>
  </rv>
  <rv s="0">
    <v>https://www.bing.com/financeapi/forcetrigger?t=a1nhlh&amp;q=XNAS%3aAMZN&amp;form=skydnc</v>
    <v>Learn more on Bing</v>
  </rv>
  <rv s="3">
    <v>en-US</v>
    <v>a1nhlh</v>
    <v>268435456</v>
    <v>1</v>
    <v>0</v>
    <v>Powered by Refinitiv</v>
    <v>0</v>
    <v>AMAZON.COM, INC. (XNAS:AMZN)</v>
    <v>3</v>
    <v>4</v>
    <v>Finance</v>
    <v>5</v>
    <v>3554</v>
    <v>2330</v>
    <v>1.1523000000000001</v>
    <v>41.91</v>
    <v>1.3084E-2</v>
    <v>USD</v>
    <v>Amazon.com, Inc. offers a range of products and services through its Websites. The Company's products include merchandise and content that it purchases for resale from vendors and those offered by third-party sellers. It also manufactures and sells electronic devices. It operates through three segments: North America, International and Amazon Web Services (AWS). Its AWS products include analytics, Amazon Athena, Amazon CloudSearch, Amazon EMR, Amazon Elasticsearch Service, Amazon Kinesis, Amazon Managed Streaming for Apache Kafka, Amazon Redshift, Amazon QuickSight, AWS Data Pipeline, AWS Glue and AWS Lake Formation. AWS solutions include machine learning, analytics and data lakes, Internet of Things, serverless computing, containers, enterprise applications, and storage. In addition, the Company provides services, such as advertising. It also offers Amazon Prime, a membership program that includes free shipping, access to streaming of various movies and television (TV) episodes.</v>
    <v>1271000</v>
    <v>Nasdaq Stock Market</v>
    <v>XNAS</v>
    <v>XNAS</v>
    <v>410 Terry Ave N, SEATTLE, WA, 98109-5210 US</v>
    <v>3257.95</v>
    <v>36</v>
    <v>Diversified Retail</v>
    <v>Stock</v>
    <v>44340.999882279684</v>
    <v>37</v>
    <v>3210.4992999999999</v>
    <v>1636525363263</v>
    <v>AMAZON.COM, INC.</v>
    <v>AMAZON.COM, INC.</v>
    <v>3215.5</v>
    <v>61.754199999999997</v>
    <v>3203.08</v>
    <v>3244.99</v>
    <v>504323700</v>
    <v>AMZN</v>
    <v>AMAZON.COM, INC. (XNAS:AMZN)</v>
    <v>45146</v>
    <v>4131870</v>
    <v>1996</v>
  </rv>
  <rv s="4">
    <v>38</v>
  </rv>
  <rv s="0">
    <v>https://www.bing.com/financeapi/forcetrigger?t=a1mybh&amp;q=XNAS%3aAEP&amp;form=skydnc</v>
    <v>Learn more on Bing</v>
  </rv>
  <rv s="5">
    <v>en-US</v>
    <v>a1mybh</v>
    <v>268435456</v>
    <v>1</v>
    <v>0</v>
    <v>Powered by Refinitiv</v>
    <v>7</v>
    <v>AMERICAN ELECTRIC POWER COMPANY, INC. (XNAS:AEP)</v>
    <v>8</v>
    <v>9</v>
    <v>Finance</v>
    <v>5</v>
    <v>94.21</v>
    <v>74.8</v>
    <v>0.25569999999999998</v>
    <v>-0.08</v>
    <v>-9.2329999999999995E-4</v>
    <v>USD</v>
    <v>American Electric Power Company, Inc. (AEP) is a public utility holding company that owns, directly or indirectly, all of the outstanding common stock of its public utility subsidiaries and varying percentages of other subsidiaries.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AEP Transmission Holdco develops, constructs and operates transmission facilities.</v>
    <v>16787</v>
    <v>Nasdaq Stock Market</v>
    <v>XNAS</v>
    <v>XNAS</v>
    <v>1 Riverside Plz, COLUMBUS, OH, 43215-2355 US</v>
    <v>87.12</v>
    <v>Electrical Utilities &amp; IPPs</v>
    <v>Stock</v>
    <v>44340.930483414064</v>
    <v>40</v>
    <v>86.440399999999997</v>
    <v>43263392128</v>
    <v>AMERICAN ELECTRIC POWER COMPANY, INC.</v>
    <v>AMERICAN ELECTRIC POWER COMPANY, INC.</v>
    <v>87.06</v>
    <v>19.305900000000001</v>
    <v>86.65</v>
    <v>86.57</v>
    <v>499750400</v>
    <v>AEP</v>
    <v>AMERICAN ELECTRIC POWER COMPANY, INC. (XNAS:AEP)</v>
    <v>16592</v>
    <v>2884805</v>
    <v>1906</v>
  </rv>
  <rv s="4">
    <v>41</v>
  </rv>
  <rv s="0">
    <v>http://en.wikipedia.org/wiki/Amgen</v>
    <v>Wikipedia</v>
  </rv>
  <rv s="1">
    <v>0</v>
    <v>43</v>
  </rv>
  <rv s="2">
    <v>6</v>
    <v>https://www.bing.com/th?id=AMMS_7651d2e878d4df4bb82a200be2db03e3&amp;qlt=95</v>
    <v>44</v>
    <v>0</v>
    <v>https://www.bing.com/images/search?form=xlimg&amp;q=amgen</v>
    <v>Image of AMGEN INC.</v>
  </rv>
  <rv s="0">
    <v>https://www.bing.com/financeapi/forcetrigger?t=a1nec7&amp;q=XNAS%3aAMGN&amp;form=skydnc</v>
    <v>Learn more on Bing</v>
  </rv>
  <rv s="3">
    <v>en-US</v>
    <v>a1nec7</v>
    <v>268435456</v>
    <v>1</v>
    <v>0</v>
    <v>Powered by Refinitiv</v>
    <v>0</v>
    <v>AMGEN INC. (XNAS:AMGN)</v>
    <v>3</v>
    <v>4</v>
    <v>Finance</v>
    <v>5</v>
    <v>276.69</v>
    <v>210.28</v>
    <v>0.71030000000000004</v>
    <v>-3.26</v>
    <v>-1.2988E-2</v>
    <v>USD</v>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v>24300</v>
    <v>Nasdaq Stock Market</v>
    <v>XNAS</v>
    <v>XNAS</v>
    <v>1 Amgen Center Dr, THOUSAND OAKS, CA, 91320-1799 US</v>
    <v>253.48</v>
    <v>45</v>
    <v>Pharmaceuticals</v>
    <v>Stock</v>
    <v>44340.99979012656</v>
    <v>46</v>
    <v>247.57</v>
    <v>142345753500</v>
    <v>AMGEN INC.</v>
    <v>AMGEN INC.</v>
    <v>250.56</v>
    <v>20.517099999999999</v>
    <v>251.01</v>
    <v>247.75</v>
    <v>574554000</v>
    <v>AMGN</v>
    <v>AMGEN INC. (XNAS:AMGN)</v>
    <v>1398</v>
    <v>2855997</v>
    <v>1986</v>
  </rv>
  <rv s="4">
    <v>47</v>
  </rv>
  <rv s="0">
    <v>http://en.wikipedia.org/wiki/Analog_Devices</v>
    <v>Wikipedia</v>
  </rv>
  <rv s="1">
    <v>0</v>
    <v>49</v>
  </rv>
  <rv s="2">
    <v>6</v>
    <v>https://www.bing.com/th?id=AMMS_ffaa01ae66e7e7628ec9c602bc3eb58f&amp;qlt=95</v>
    <v>50</v>
    <v>0</v>
    <v>https://www.bing.com/images/search?form=xlimg&amp;q=analog+devices</v>
    <v>Image of ANALOG DEVICES, INC.</v>
  </rv>
  <rv s="0">
    <v>https://www.bing.com/financeapi/forcetrigger?t=a1mvjc&amp;q=XNAS%3aADI&amp;form=skydnc</v>
    <v>Learn more on Bing</v>
  </rv>
  <rv s="3">
    <v>en-US</v>
    <v>a1mvjc</v>
    <v>268435456</v>
    <v>1</v>
    <v>0</v>
    <v>Powered by Refinitiv</v>
    <v>0</v>
    <v>ANALOG DEVICES, INC. (XNAS:ADI)</v>
    <v>3</v>
    <v>4</v>
    <v>Finance</v>
    <v>5</v>
    <v>164.4</v>
    <v>110.41</v>
    <v>1.2508999999999999</v>
    <v>3.15</v>
    <v>1.9767E-2</v>
    <v>USD</v>
    <v>Analog Devices, Inc. (Analog Devices) designs, manufactures and markets a portfolio of solutions that leverage high-performance analog, mixed-signal and digital signal processing technology, including integrated circuits (ICs), algorithms, software and subsystems. Its products include Analog Products, Converters, Amplifiers/Radio Frequency, Other Analog, Power Management and Reference, and Digital Signal Processing Products. The Company is a supplier of data converter products. The Company is a supplier of high-performance amplifiers. Its analog product line also includes products of high performance radio frequency (RF) ICs. The Company's DSPs are used for high-speed numeric calculations. The Company offers its products for applications in various end markets, such as industrial, automotive, consumer and communications. The Company operates in the United States, Rest of North/South America, Europe, Japan and China.</v>
    <v>15900</v>
    <v>Nasdaq Stock Market</v>
    <v>XNAS</v>
    <v>XNAS</v>
    <v>ONE ANALOG WAY, WILMINGTON, MA, 01887 US</v>
    <v>162.98500000000001</v>
    <v>51</v>
    <v>Semiconductors &amp; Semiconductor Equipment</v>
    <v>Stock</v>
    <v>44340.979934698436</v>
    <v>52</v>
    <v>160.72999999999999</v>
    <v>59938059519</v>
    <v>ANALOG DEVICES, INC.</v>
    <v>ANALOG DEVICES, INC.</v>
    <v>160.99</v>
    <v>38.785899999999998</v>
    <v>159.36000000000001</v>
    <v>162.51</v>
    <v>368826900</v>
    <v>ADI</v>
    <v>ANALOG DEVICES, INC. (XNAS:ADI)</v>
    <v>2446</v>
    <v>4032393</v>
    <v>1965</v>
  </rv>
  <rv s="4">
    <v>53</v>
  </rv>
  <rv s="0">
    <v>http://ru.wikipedia.org/wiki/ANSYS</v>
    <v>Wikipedia</v>
  </rv>
  <rv s="1">
    <v>0</v>
    <v>55</v>
  </rv>
  <rv s="2">
    <v>6</v>
    <v>https://www.bing.com/th?id=AMMS_f6d78f1f629518fb70191763d4bc593b&amp;qlt=95</v>
    <v>56</v>
    <v>0</v>
    <v>https://www.bing.com/images/search?form=xlimg&amp;q=ansys</v>
    <v>Image of ANSYS, INC.</v>
  </rv>
  <rv s="0">
    <v>https://www.bing.com/financeapi/forcetrigger?t=a1njh7&amp;q=XNAS%3aANSS&amp;form=skydnc</v>
    <v>Learn more on Bing</v>
  </rv>
  <rv s="3">
    <v>en-US</v>
    <v>a1njh7</v>
    <v>268435456</v>
    <v>1</v>
    <v>0</v>
    <v>Powered by Refinitiv</v>
    <v>0</v>
    <v>ANSYS, INC. (XNAS:ANSS)</v>
    <v>3</v>
    <v>4</v>
    <v>Finance</v>
    <v>5</v>
    <v>413.19</v>
    <v>259.04000000000002</v>
    <v>1.2125999999999999</v>
    <v>8.51</v>
    <v>2.5767999999999999E-2</v>
    <v>USD</v>
    <v>ANSYS, Inc. (ANSYS) develops and markets engineering simulation software and services used by engineers, designers, researchers and students across a range of industries and academia, including aerospace and defense, automotive, industrial equipment, electronics, biomedical, energy, materials and chemical processing, and semiconductors. The Company focuses on the development of open and flexible solutions that enable users to analyze designs directly on the desktop, providing a common platform for product development, from design concept to final-stage testing and validation. The Company distributes its ANSYS suite of simulation technologies through a network of independent resellers and distributors, and direct sales offices in various locations. Its product portfolio consists of Simulation Platform: ANSYS Workbench, Structures, Fluids, Electronics, Semiconductors, Multiphysics, AIM, Embedded Software, Systems, Three Dimensional (3-D) Direct Modeling and Academic.</v>
    <v>4800</v>
    <v>Nasdaq Stock Market</v>
    <v>XNAS</v>
    <v>XNAS</v>
    <v>2600 Ansys Dr, CANONSBURG, PA, 15317-0404 US</v>
    <v>340.22</v>
    <v>57</v>
    <v>Software &amp; IT Services</v>
    <v>Stock</v>
    <v>44340.874511596878</v>
    <v>58</v>
    <v>334.41</v>
    <v>29524337368</v>
    <v>ANSYS, INC.</v>
    <v>ANSYS, INC.</v>
    <v>334.68</v>
    <v>64.386200000000002</v>
    <v>330.26</v>
    <v>338.77</v>
    <v>87151570</v>
    <v>ANSS</v>
    <v>ANSYS, INC. (XNAS:ANSS)</v>
    <v>213</v>
    <v>414519</v>
    <v>1994</v>
  </rv>
  <rv s="4">
    <v>59</v>
  </rv>
  <rv s="0">
    <v>http://ja.wikipedia.org/wiki/アップル_(企業)</v>
    <v>Wikipedia</v>
  </rv>
  <rv s="1">
    <v>0</v>
    <v>61</v>
  </rv>
  <rv s="2">
    <v>6</v>
    <v>https://www.bing.com/th?id=AMMS_5bc8393c85a56e6bb6524ea7b3970bad&amp;qlt=95</v>
    <v>62</v>
    <v>0</v>
    <v>https://www.bing.com/images/search?form=xlimg&amp;q=apple+inc</v>
    <v>Image of APPLE INC.</v>
  </rv>
  <rv s="0">
    <v>https://www.bing.com/financeapi/forcetrigger?t=a1mou2&amp;q=XNAS%3aAAPL&amp;form=skydnc</v>
    <v>Learn more on Bing</v>
  </rv>
  <rv s="3">
    <v>en-US</v>
    <v>a1mou2</v>
    <v>268435456</v>
    <v>1</v>
    <v>0</v>
    <v>Powered by Refinitiv</v>
    <v>0</v>
    <v>APPLE INC. (XNAS:AAPL)</v>
    <v>3</v>
    <v>4</v>
    <v>Finance</v>
    <v>5</v>
    <v>145.09</v>
    <v>78.272499999999994</v>
    <v>1.208</v>
    <v>1.67</v>
    <v>1.3313999999999999E-2</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127.94</v>
    <v>63</v>
    <v>Computers, Phones &amp; Household Electronics</v>
    <v>Stock</v>
    <v>44340.999927221877</v>
    <v>64</v>
    <v>125.94</v>
    <v>2120997773000</v>
    <v>APPLE INC.</v>
    <v>APPLE INC.</v>
    <v>126.01</v>
    <v>28.520399999999999</v>
    <v>125.43</v>
    <v>127.1</v>
    <v>16687630000</v>
    <v>AAPL</v>
    <v>APPLE INC. (XNAS:AAPL)</v>
    <v>818648</v>
    <v>89840684</v>
    <v>1977</v>
  </rv>
  <rv s="4">
    <v>65</v>
  </rv>
  <rv s="0">
    <v>http://en.wikipedia.org/wiki/Applied_Materials</v>
    <v>Wikipedia</v>
  </rv>
  <rv s="1">
    <v>0</v>
    <v>67</v>
  </rv>
  <rv s="2">
    <v>6</v>
    <v>https://www.bing.com/th?id=AMMS_f03d9541a942ffa644c847495fa92644&amp;qlt=95</v>
    <v>68</v>
    <v>0</v>
    <v>https://www.bing.com/images/search?form=xlimg&amp;q=applied+materials</v>
    <v>Image of APPLIED MATERIALS, INC.</v>
  </rv>
  <rv s="0">
    <v>https://www.bing.com/financeapi/forcetrigger?t=a1nda2&amp;q=XNAS%3aAMAT&amp;form=skydnc</v>
    <v>Learn more on Bing</v>
  </rv>
  <rv s="3">
    <v>en-US</v>
    <v>a1nda2</v>
    <v>268435456</v>
    <v>1</v>
    <v>0</v>
    <v>Powered by Refinitiv</v>
    <v>0</v>
    <v>APPLIED MATERIALS, INC. (XNAS:AMAT)</v>
    <v>3</v>
    <v>4</v>
    <v>Finance</v>
    <v>5</v>
    <v>146</v>
    <v>53.314999999999998</v>
    <v>1.4523999999999999</v>
    <v>5.92</v>
    <v>4.6012999999999998E-2</v>
    <v>USD</v>
    <v>Applied Materials, Inc. provides manufacturing equipment, services and software to the global semiconductor, display and related industries. The Company's segments are Semiconductor Systems, which includes semiconductor capital equipment for etch, rapid thermal processing, deposition, chemical mechanical planarization, metrology and inspection, wafer packaging, and ion implantation; Applied Global Services, which provides integrated solutions to optimize equipment and fab performance and productivity; Display and Adjacent Markets, which includes products for manufacturing liquid crystal displays, organic light-emitting diodes, upgrades and roll-to-roll Web coating systems and other display technologies for televisions, personal computers, smart phones and other consumer-oriented devices, and Corporate and Other segment, which includes revenues from products, as well as costs of products sold for fabricating solar photovoltaic cells and modules, and certain operating expenses.</v>
    <v>24000</v>
    <v>Nasdaq Stock Market</v>
    <v>XNAS</v>
    <v>XNAS</v>
    <v>3050 Bowers Ave, SANTA CLARA, CA, 95054-3299 US</v>
    <v>135.63</v>
    <v>69</v>
    <v>Semiconductors &amp; Semiconductor Equipment</v>
    <v>Stock</v>
    <v>44340.999964200782</v>
    <v>70</v>
    <v>129.59</v>
    <v>123498790464</v>
    <v>APPLIED MATERIALS, INC.</v>
    <v>APPLIED MATERIALS, INC.</v>
    <v>130.19</v>
    <v>28.0547</v>
    <v>128.66</v>
    <v>134.58000000000001</v>
    <v>917660800</v>
    <v>AMAT</v>
    <v>APPLIED MATERIALS, INC. (XNAS:AMAT)</v>
    <v>62776</v>
    <v>10432074</v>
    <v>1987</v>
  </rv>
  <rv s="4">
    <v>71</v>
  </rv>
  <rv s="0">
    <v>https://creativecommons.org/licenses/by-sa/4.0</v>
    <v>CC BY-SA 4.0</v>
  </rv>
  <rv s="0">
    <v>http://en.wikipedia.org/wiki/ASML_Holding</v>
    <v>Wikipedia</v>
  </rv>
  <rv s="1">
    <v>73</v>
    <v>74</v>
  </rv>
  <rv s="2">
    <v>6</v>
    <v>https://www.bing.com/th?id=AMMS_6bf0b4a62c85985163547bbd601c87ff&amp;qlt=95</v>
    <v>75</v>
    <v>0</v>
    <v>https://www.bing.com/images/search?form=xlimg&amp;q=asml+holding</v>
    <v>Image of ASML Holding NV</v>
  </rv>
  <rv s="0">
    <v>https://www.bing.com/financeapi/forcetrigger?t=a1ntlh&amp;q=XNAS%3aASML&amp;form=skydnc</v>
    <v>Learn more on Bing</v>
  </rv>
  <rv s="3">
    <v>en-US</v>
    <v>a1ntlh</v>
    <v>268435456</v>
    <v>1</v>
    <v>0</v>
    <v>Powered by Refinitiv</v>
    <v>0</v>
    <v>ASML Holding NV (XNAS:ASML)</v>
    <v>3</v>
    <v>4</v>
    <v>Finance</v>
    <v>5</v>
    <v>675.65</v>
    <v>311.11</v>
    <v>1.0599000000000001</v>
    <v>19.73</v>
    <v>3.0865999999999998E-2</v>
    <v>USD</v>
    <v>ASML Holding N.V. is a holding company. The Company is a manufacturer of chip-making equipment. The Company is engaged in the development, production, marketing, selling and servicing of semiconductor equipment systems, consisting of lithography systems. The Company's products include systems, and installed base products and services. The Company's principal operations are in the Netherlands, the United States and Asia. The Company offers TWINSCAN systems, equipped with lithography system with a mercury lamp as light source (i-line), Krypton Fluoride (KrF) and Argon Fluoride (ArF) light sources for 300 millimeter processing wafers for manufacturing environments for which imaging at a small resolution is required. TWINSCAN systems also include immersion lithography systems (TWINSCAN immersion systems). The Company also offers NXE systems, which are equipped with extreme ultraviolet (EUV) light source technology. The Company offers YieldStar, a wafer metrology system.</v>
    <v>27248</v>
    <v>Nasdaq Stock Market</v>
    <v>XNAS</v>
    <v>XNAS</v>
    <v>De Run 6501, VELDHOVEN, NOORD-BRABANT, 5504 DR NL</v>
    <v>662.25900000000001</v>
    <v>76</v>
    <v>Semiconductors &amp; Semiconductor Equipment</v>
    <v>Stock</v>
    <v>44340.999517881253</v>
    <v>77</v>
    <v>645.76</v>
    <v>269465600000</v>
    <v>ASML Holding NV</v>
    <v>ASML Holding NV</v>
    <v>647.5</v>
    <v>52.062800000000003</v>
    <v>639.22</v>
    <v>658.95</v>
    <v>419497500</v>
    <v>ASML</v>
    <v>ASML Holding NV (XNAS:ASML)</v>
    <v>67827</v>
    <v>958339</v>
    <v>1994</v>
  </rv>
  <rv s="4">
    <v>78</v>
  </rv>
  <rv s="0">
    <v>http://de.wikipedia.org/wiki/Bamboo_(Software)</v>
    <v>Wikipedia</v>
  </rv>
  <rv s="1">
    <v>0</v>
    <v>80</v>
  </rv>
  <rv s="2">
    <v>6</v>
    <v>https://www.bing.com/th?id=AMMS_47392efe319245955bd59b5fa1421514&amp;qlt=95</v>
    <v>81</v>
    <v>0</v>
    <v>https://www.bing.com/images/search?form=xlimg&amp;q=atlassian</v>
    <v>Image of ATLASSIAN CORPORATION PLC</v>
  </rv>
  <rv s="0">
    <v>https://www.bing.com/financeapi/forcetrigger?t=a243h7&amp;q=XNAS%3aTEAM&amp;form=skydnc</v>
    <v>Learn more on Bing</v>
  </rv>
  <rv s="6">
    <v>en-US</v>
    <v>a243h7</v>
    <v>268435456</v>
    <v>1</v>
    <v>0</v>
    <v>Powered by Refinitiv</v>
    <v>10</v>
    <v>ATLASSIAN CORPORATION PLC (XNAS:TEAM)</v>
    <v>3</v>
    <v>11</v>
    <v>Finance</v>
    <v>5</v>
    <v>262.39999999999998</v>
    <v>160.01339999999999</v>
    <v>0.8276</v>
    <v>-1.05</v>
    <v>-4.6949999999999995E-3</v>
    <v>USD</v>
    <v>Atlassian Corporation Plc is a holding company. The Company offers a range of team collaboration products. The Company offers products, including JIRA, Confluence, HipChat, Bitbucket and JIRA Service Desk, for software developers, information technology (IT) managers and knowledge workers. The Company offers JIRA for team planning and project management; Confluence for team content creation and sharing; HipChat for team real-time messaging and communications; Bitbucket for team code sharing and management, and JIRA Service Desk for team service and support applications. JIRA allows teams to organize their work into projects and customize dashboards for those projects to keep their teams aligned and on track. Confluence provides a system for organizing, sharing and securing content in spaces arranged by team, project, department and others. The Company also offers additional tools for software developers, such as FishEye, Clover, Crowd, Crucible, Bamboo and SourceTree.</v>
    <v>4907</v>
    <v>Nasdaq Stock Market</v>
    <v>XNAS</v>
    <v>XNAS</v>
    <v>Exchange House, Primrose Street, LONDON, UNITED KINGDOM-NA, EC2A 2EG GB</v>
    <v>227.4999</v>
    <v>82</v>
    <v>Software &amp; IT Services</v>
    <v>Stock</v>
    <v>44340.998733125001</v>
    <v>83</v>
    <v>221.7</v>
    <v>55663756680</v>
    <v>ATLASSIAN CORPORATION PLC</v>
    <v>ATLASSIAN CORPORATION PLC</v>
    <v>224.21</v>
    <v>223.65</v>
    <v>222.6</v>
    <v>250061800</v>
    <v>TEAM</v>
    <v>ATLASSIAN CORPORATION PLC (XNAS:TEAM)</v>
    <v>3480</v>
    <v>1581822</v>
    <v>2013</v>
  </rv>
  <rv s="4">
    <v>84</v>
  </rv>
  <rv s="7">
    <v>12</v>
    <v>P/E</v>
    <v>0</v>
  </rv>
  <rv s="0">
    <v>http://en.wikipedia.org/wiki/Autodesk</v>
    <v>Wikipedia</v>
  </rv>
  <rv s="1">
    <v>0</v>
    <v>87</v>
  </rv>
  <rv s="2">
    <v>6</v>
    <v>https://www.bing.com/th?id=AMMS_2049a0a1466f72d4f657640b73c0cf07&amp;qlt=95</v>
    <v>88</v>
    <v>0</v>
    <v>https://www.bing.com/images/search?form=xlimg&amp;q=autodesk</v>
    <v>Image of AUTODESK, INC.</v>
  </rv>
  <rv s="0">
    <v>https://www.bing.com/financeapi/forcetrigger?t=a1mwoc&amp;q=XNAS%3aADSK&amp;form=skydnc</v>
    <v>Learn more on Bing</v>
  </rv>
  <rv s="3">
    <v>en-US</v>
    <v>a1mwoc</v>
    <v>268435456</v>
    <v>1</v>
    <v>0</v>
    <v>Powered by Refinitiv</v>
    <v>0</v>
    <v>AUTODESK, INC. (XNAS:ADSK)</v>
    <v>3</v>
    <v>4</v>
    <v>Finance</v>
    <v>5</v>
    <v>321.13</v>
    <v>192.51</v>
    <v>1.3317000000000001</v>
    <v>5.8</v>
    <v>2.0590999999999998E-2</v>
    <v>USD</v>
    <v>Autodesk, Inc. is a design software and services company, offering customers productive business solutions through technology products and services. The Company's segments include Architecture, Engineering and Construction (AEC), Platform Solutions and Emerging Business (PSEB), Manufacturing (MFG), and Media and Entertainment (M&amp;E). The Company serves customers in the architecture, engineering and construction; product design and manufacturing; and digital media and entertainment industries. The Company's product development and manufacturing software provides manufacturers in automotive, transportation, industrial machinery, consumer products and building products with digital engineering solutions. The Company's product offerings include, AutoCAD, AutoCAD LT, Industry Collections, 3ds Max, Maya, Revit, Inventor, AutoCAD Civil three dimensional (3D), CAM Solutions, Fusion 360, BIM 360 and Shotgun.</v>
    <v>11500</v>
    <v>Nasdaq Stock Market</v>
    <v>XNAS</v>
    <v>XNAS</v>
    <v>111 MCINNIS PKWY, SAN RAFAEL, CA, 94903-2773 US</v>
    <v>288.51499999999999</v>
    <v>89</v>
    <v>Software &amp; IT Services</v>
    <v>Stock</v>
    <v>44340.999797974218</v>
    <v>90</v>
    <v>283.83</v>
    <v>63263682492</v>
    <v>AUTODESK, INC.</v>
    <v>AUTODESK, INC.</v>
    <v>285.29000000000002</v>
    <v>52.843299999999999</v>
    <v>281.68</v>
    <v>287.48</v>
    <v>220062900</v>
    <v>ADSK</v>
    <v>AUTODESK, INC. (XNAS:ADSK)</v>
    <v>356</v>
    <v>951485</v>
    <v>1994</v>
  </rv>
  <rv s="4">
    <v>91</v>
  </rv>
  <rv s="0">
    <v>http://en.wikipedia.org/wiki/ADP_(company)</v>
    <v>Wikipedia</v>
  </rv>
  <rv s="1">
    <v>0</v>
    <v>93</v>
  </rv>
  <rv s="2">
    <v>6</v>
    <v>https://www.bing.com/th?id=AMMS_2e13aa227ecc4e2b44c5f0fafb6908d5&amp;qlt=95</v>
    <v>94</v>
    <v>0</v>
    <v>https://www.bing.com/images/search?form=xlimg&amp;q=adp</v>
    <v>Image of AUTOMATIC DATA PROCESSING, INC.</v>
  </rv>
  <rv s="0">
    <v>https://www.bing.com/financeapi/forcetrigger?t=a1mw4c&amp;q=XNAS%3aADP&amp;form=skydnc</v>
    <v>Learn more on Bing</v>
  </rv>
  <rv s="3">
    <v>en-US</v>
    <v>a1mw4c</v>
    <v>268435456</v>
    <v>1</v>
    <v>0</v>
    <v>Powered by Refinitiv</v>
    <v>0</v>
    <v>AUTOMATIC DATA PROCESSING, INC. (XNAS:ADP)</v>
    <v>3</v>
    <v>4</v>
    <v>Finance</v>
    <v>12</v>
    <v>198.35</v>
    <v>127.31</v>
    <v>0.72389999999999999</v>
    <v>1.76</v>
    <v>9.0130000000000002E-3</v>
    <v>USD</v>
    <v>Automatic Data Processing, Inc. (ADP) is a provider of human capital management (HCM) solutions to employers, offering solutions to businesses of various sizes. The Company also provides business process outsourcing solutions. Its segments include Employer Services and Professional Employer Organization (PEO) Services. The Employer Services segment offers a range of human resources (HR) business process outsourcing and technology-enabled HCM solutions. These offerings include payroll services, benefits administration, talent management, HR management, time and attendance management, insurance services, retirement services, and tax and compliance services. ADP TotalSource, ADP's PEO business, offers small and mid-sized businesses a HR outsourcing solution through a co-employment model. As a PEO, ADP TotalSource provides HR management services while the client continues to direct the day-to-day job-related duties of the employees.</v>
    <v>58000</v>
    <v>Nasdaq Stock Market</v>
    <v>XNAS</v>
    <v>XNAS</v>
    <v>1 Adp Blvd, ROSELAND, NJ, 07068-1728 US</v>
    <v>198.35</v>
    <v>95</v>
    <v>Software &amp; IT Services</v>
    <v>Stock</v>
    <v>44340.8724821875</v>
    <v>96</v>
    <v>196.18</v>
    <v>83844125832</v>
    <v>AUTOMATIC DATA PROCESSING, INC.</v>
    <v>AUTOMATIC DATA PROCESSING, INC.</v>
    <v>196.46</v>
    <v>34.286099999999998</v>
    <v>195.28</v>
    <v>197.04</v>
    <v>425518300</v>
    <v>ADP</v>
    <v>AUTOMATIC DATA PROCESSING, INC. (XNAS:ADP)</v>
    <v>15</v>
    <v>1703268</v>
    <v>1961</v>
  </rv>
  <rv s="4">
    <v>97</v>
  </rv>
  <rv s="0">
    <v>https://www.bing.com/financeapi/forcetrigger?t=a1ohm7&amp;q=XNAS%3aBIDU&amp;form=skydnc</v>
    <v>Learn more on Bing</v>
  </rv>
  <rv s="5">
    <v>en-US</v>
    <v>a1ohm7</v>
    <v>268435456</v>
    <v>1</v>
    <v>0</v>
    <v>Powered by Refinitiv</v>
    <v>7</v>
    <v>Baidu, Inc. (XNAS:BIDU)</v>
    <v>8</v>
    <v>9</v>
    <v>Finance</v>
    <v>5</v>
    <v>354.82</v>
    <v>102.6</v>
    <v>1.0306999999999999</v>
    <v>-0.56999999999999995</v>
    <v>-3.0070000000000001E-3</v>
    <v>USD</v>
    <v>Baidu Inc is a Chinese language Internet search provider. The Company offers a Chinese language search platform on its Baidu.com Website that enables users to find information online, including Webpages, news, images, documents and multimedia files, through links provided on its Website. The Company operates through two segments, Baidu Core segment and iQIYI segment. Baidu Core mainly provides search-based, feed-based, and other online marketing services, as well as products and services from the Company’s new artificial intelligence (AI) initiatives. Within Baidu Core, the Company’s product and services offerings are categorized as Mobile Ecosystem, Baidu AI Cloud and Intelligent Driving &amp; Other Growth Initiatives. iQIYI is an online entertainment service provider that offers original, professionally produced and partner-generated content on its platform.</v>
    <v>41000</v>
    <v>Nasdaq Stock Market</v>
    <v>XNAS</v>
    <v>XNAS</v>
    <v>Baidu Mansion, 10 Shangdi Tenth Street, Haidian District, BEIJING, BEIJING, 100085 CN</v>
    <v>190.54</v>
    <v>Software &amp; IT Services</v>
    <v>Stock</v>
    <v>44340.999625185155</v>
    <v>99</v>
    <v>187.6</v>
    <v>66817238592</v>
    <v>Baidu, Inc.</v>
    <v>Baidu, Inc.</v>
    <v>189.01</v>
    <v>8.9138000000000002</v>
    <v>189.53</v>
    <v>188.96</v>
    <v>353605200</v>
    <v>BIDU</v>
    <v>Baidu, Inc. (XNAS:BIDU)</v>
    <v>89459</v>
    <v>6567807</v>
    <v>2000</v>
  </rv>
  <rv s="4">
    <v>100</v>
  </rv>
  <rv s="0">
    <v>https://www.bing.com/financeapi/forcetrigger?t=a1ohur&amp;q=XNAS%3aBIIB&amp;form=skydnc</v>
    <v>Learn more on Bing</v>
  </rv>
  <rv s="5">
    <v>en-US</v>
    <v>a1ohur</v>
    <v>268435456</v>
    <v>1</v>
    <v>0</v>
    <v>Powered by Refinitiv</v>
    <v>7</v>
    <v>BIOGEN INC. (XNAS:BIIB)</v>
    <v>8</v>
    <v>9</v>
    <v>Finance</v>
    <v>5</v>
    <v>363.92</v>
    <v>223.25</v>
    <v>0.43269999999999997</v>
    <v>-4.33</v>
    <v>-1.529E-2</v>
    <v>USD</v>
    <v>Biogen Inc. is a biopharmaceutical company. The Company focuses on discovering, developing, manufacturing and delivering therapies to people living with serious neurological, rare and autoimmune diseases. The Company markets products, including TECFIDERA, AVONEX, PLEGRIDY, TYSABRI, ZINBRYTA and FAMPYRA for multiple sclerosis (MS), FUMADERM for the treatment of severe plaque psoriasis and SPINRAZA for the treatment of spinal muscular atrophy (SMA). It also has a collaboration agreement with Genentech, Inc. (Genentech), a member of the Roche Group, with respect to RITUXAN for the treatment of non-Hodgkin's lymphoma, chronic lymphocytic leukemia (CLL) and other conditions, GAZYVA indicated for the treatment of CLL and follicular lymphoma, and other anti-CD20 therapies. The Company's product candidate includes OCREVUS; Biosimilar adalimumab; Aducanumab; E2609; BIIB074; BAN2401; Opicinumab; CIRARA; BIIB061; BIIB054; BIIB067, and BIIB068.</v>
    <v>9100</v>
    <v>Nasdaq Stock Market</v>
    <v>XNAS</v>
    <v>XNAS</v>
    <v>225 Binney St, CAMBRIDGE, MA, 02142-1031 US</v>
    <v>287.26990000000001</v>
    <v>Pharmaceuticals</v>
    <v>Stock</v>
    <v>44340.99976491875</v>
    <v>102</v>
    <v>277.95999999999998</v>
    <v>41983683642</v>
    <v>BIOGEN INC.</v>
    <v>BIOGEN INC.</v>
    <v>285.60000000000002</v>
    <v>14.6287</v>
    <v>283.19</v>
    <v>278.86</v>
    <v>150554700</v>
    <v>BIIB</v>
    <v>BIOGEN INC. (XNAS:BIIB)</v>
    <v>450</v>
    <v>954512</v>
    <v>1997</v>
  </rv>
  <rv s="4">
    <v>103</v>
  </rv>
  <rv s="0">
    <v>https://www.bing.com/financeapi/forcetrigger?t=az6g8m&amp;q=XNAS%3aBKNG&amp;form=skydnc</v>
    <v>Learn more on Bing</v>
  </rv>
  <rv s="5">
    <v>en-US</v>
    <v>az6g8m</v>
    <v>268435456</v>
    <v>1</v>
    <v>0</v>
    <v>Powered by Refinitiv</v>
    <v>7</v>
    <v>BOOKING HOLDINGS INC. (XNAS:BKNG)</v>
    <v>8</v>
    <v>9</v>
    <v>Finance</v>
    <v>12</v>
    <v>2516</v>
    <v>1532.83</v>
    <v>1.2735000000000001</v>
    <v>55.1</v>
    <v>2.4026000000000002E-2</v>
    <v>USD</v>
    <v>Booking Holdings Inc., formerly The Priceline Group Inc., is a provider of travel and restaurant online reservation and related services. The Company, through its online travel companies (OTCs), connects consumers wishing to make travel reservations with providers of travel services across the world. It offers consumers an array of accommodation reservations (including hotels, bed and breakfasts, hostels, apartments, vacation rentals and other properties) through its Booking.com, priceline.com and agoda.com brands. Its other brands include KAYAK, Rentalcars.com and OpenTable, Inc. (OpenTable). As of December 31, 2016, Booking.com offered accommodation reservation services for over 1,115,000 properties in over 220 countries and territories on its various Websites and in over 40 languages, which included over 568,000 vacation rental properties.</v>
    <v>20300</v>
    <v>Nasdaq Stock Market</v>
    <v>XNAS</v>
    <v>XNAS</v>
    <v>800 CONNECTICUT AVE, NORWALK, CT, 06854-1631 US</v>
    <v>2356.15</v>
    <v>Hotels &amp; Entertainment Services</v>
    <v>Stock</v>
    <v>44340.996505925781</v>
    <v>105</v>
    <v>2300.2017000000001</v>
    <v>96411703228</v>
    <v>BOOKING HOLDINGS INC.</v>
    <v>BOOKING HOLDINGS INC.</v>
    <v>2301.7199999999998</v>
    <v>138.90819999999999</v>
    <v>2293.38</v>
    <v>2348.48</v>
    <v>41052810</v>
    <v>BKNG</v>
    <v>BOOKING HOLDINGS INC. (XNAS:BKNG)</v>
    <v>179</v>
    <v>331192</v>
    <v>1998</v>
  </rv>
  <rv s="4">
    <v>106</v>
  </rv>
  <rv s="0">
    <v>http://en.wikipedia.org/wiki/Broadcom_Inc.</v>
    <v>Wikipedia</v>
  </rv>
  <rv s="1">
    <v>0</v>
    <v>108</v>
  </rv>
  <rv s="2">
    <v>6</v>
    <v>https://www.bing.com/th?id=AMMS_223510cc1bd4d829dfc7dee799fda728&amp;qlt=95</v>
    <v>109</v>
    <v>0</v>
    <v>https://www.bing.com/images/search?form=xlimg&amp;q=avago</v>
    <v>Image of Broadcom Inc.</v>
  </rv>
  <rv s="0">
    <v>https://www.bing.com/financeapi/forcetrigger?t=a1nz8m&amp;q=XNAS%3aAVGO&amp;form=skydnc</v>
    <v>Learn more on Bing</v>
  </rv>
  <rv s="3">
    <v>en-US</v>
    <v>a1nz8m</v>
    <v>268435456</v>
    <v>1</v>
    <v>0</v>
    <v>Powered by Refinitiv</v>
    <v>0</v>
    <v>Broadcom Inc. (XNAS:AVGO)</v>
    <v>3</v>
    <v>4</v>
    <v>Finance</v>
    <v>5</v>
    <v>495.14</v>
    <v>280</v>
    <v>0.9516</v>
    <v>7.95</v>
    <v>1.7618000000000002E-2</v>
    <v>USD</v>
    <v>Broadcom Inc. is a technology company. The Company designs, develops and supplies a range of semiconductor and infrastructure software solutions. It operates through two segments: semiconductor solutions and infrastructure software. Its semiconductor solutions segment includes semiconductor solution product lines, as well as its Internet protocol (IP) licensing. Its infrastructure software segment includes its mainframe and enterprise software solutions and fiber channel storage area networking business. It develops semiconductor devices with a focus on digital and mixed signal complementary metal oxide semiconductor (CMOS) based devices and analog III-V based products. It provides semiconductor solutions for managing the movement of data in data center, telecom, enterprise, and embedded networking applications. Its mainframe software solutions include solutions for the IBM Z mainframe platform, which runs business applications.</v>
    <v>21000</v>
    <v>Nasdaq Stock Market</v>
    <v>XNAS</v>
    <v>XNAS</v>
    <v>1320 Ridder Park Dr, SAN JOSE, CA, 95131-2313 US</v>
    <v>462.44</v>
    <v>110</v>
    <v>Semiconductors &amp; Semiconductor Equipment</v>
    <v>Stock</v>
    <v>44340.998125219528</v>
    <v>111</v>
    <v>456.35500000000002</v>
    <v>187488333137</v>
    <v>Broadcom Inc.</v>
    <v>Broadcom Inc.</v>
    <v>456.92</v>
    <v>53.161099999999998</v>
    <v>451.24</v>
    <v>459.19</v>
    <v>408302300</v>
    <v>AVGO</v>
    <v>Broadcom Inc. (XNAS:AVGO)</v>
    <v>1402</v>
    <v>1892187</v>
    <v>2018</v>
  </rv>
  <rv s="4">
    <v>112</v>
  </rv>
  <rv s="0">
    <v>http://en.wikipedia.org/wiki/Cadence_Design_Systems</v>
    <v>Wikipedia</v>
  </rv>
  <rv s="1">
    <v>0</v>
    <v>114</v>
  </rv>
  <rv s="2">
    <v>6</v>
    <v>https://www.bing.com/th?id=AMMS_ee2a034fbfd96909b87f1d7f46a15eee&amp;qlt=95</v>
    <v>115</v>
    <v>0</v>
    <v>https://www.bing.com/images/search?form=xlimg&amp;q=cadence+design+systems</v>
    <v>Image of CADENCE DESIGN SYSTEMS, INC.</v>
  </rv>
  <rv s="0">
    <v>https://www.bing.com/financeapi/forcetrigger?t=a1pejc&amp;q=XNAS%3aCDNS&amp;form=skydnc</v>
    <v>Learn more on Bing</v>
  </rv>
  <rv s="3">
    <v>en-US</v>
    <v>a1pejc</v>
    <v>268435456</v>
    <v>1</v>
    <v>0</v>
    <v>Powered by Refinitiv</v>
    <v>0</v>
    <v>CADENCE DESIGN SYSTEMS, INC. (XNAS:CDNS)</v>
    <v>3</v>
    <v>4</v>
    <v>Finance</v>
    <v>5</v>
    <v>149.08000000000001</v>
    <v>81.95</v>
    <v>1.0002</v>
    <v>2.87</v>
    <v>2.3246000000000003E-2</v>
    <v>USD</v>
    <v>Cadence Design Systems, Inc. provides solutions that enable its customers to design electronic products. The Company's product categories include Functional Verification, Digital integrated circuits (IC) Design and Signoff, Custom IC Design and Verification, System Interconnect and Analysis, and intellectual property (IP). Functional verification products are used to verify that the circuitry or the software designed to perform as intended. Digital IC design offerings are used to create representations of a digital circuit or an IC that can be verified for correctness prior to implementation. Custom IC design and verification offerings are used to create schematic and physical representations of circuits down to the transistor level for analog and memory designs. System Interconnect and Analysis offerings are used to develop printed circuit boards and IC packages. Design IP offerings consist of functional blocks, which customers integrate into their ICs for the development process.</v>
    <v>8800</v>
    <v>Nasdaq Stock Market</v>
    <v>XNAS</v>
    <v>XNAS</v>
    <v>2655 Seely Ave, SAN JOSE, CA, 95134-1931 US</v>
    <v>127.24</v>
    <v>116</v>
    <v>Software &amp; IT Services</v>
    <v>Stock</v>
    <v>44340.847106017965</v>
    <v>117</v>
    <v>125.22</v>
    <v>35153217450</v>
    <v>CADENCE DESIGN SYSTEMS, INC.</v>
    <v>CADENCE DESIGN SYSTEMS, INC.</v>
    <v>125.23</v>
    <v>54.084000000000003</v>
    <v>123.46</v>
    <v>126.33</v>
    <v>278265000</v>
    <v>CDNS</v>
    <v>CADENCE DESIGN SYSTEMS, INC. (XNAS:CDNS)</v>
    <v>1291</v>
    <v>1901122</v>
    <v>1987</v>
  </rv>
  <rv s="4">
    <v>118</v>
  </rv>
  <rv s="0">
    <v>http://en.wikipedia.org/wiki/CDW</v>
    <v>Wikipedia</v>
  </rv>
  <rv s="1">
    <v>0</v>
    <v>120</v>
  </rv>
  <rv s="2">
    <v>6</v>
    <v>https://www.bing.com/th?id=AMMS_a4c464aaf95cb3234f599e2bde262503&amp;qlt=95</v>
    <v>121</v>
    <v>0</v>
    <v>https://www.bing.com/images/search?form=xlimg&amp;q=cdw</v>
    <v>Image of CDW CORPORATION</v>
  </rv>
  <rv s="0">
    <v>https://www.bing.com/financeapi/forcetrigger?t=a1pf4c&amp;q=XNAS%3aCDW&amp;form=skydnc</v>
    <v>Learn more on Bing</v>
  </rv>
  <rv s="3">
    <v>en-US</v>
    <v>a1pf4c</v>
    <v>268435456</v>
    <v>1</v>
    <v>0</v>
    <v>Powered by Refinitiv</v>
    <v>0</v>
    <v>CDW CORPORATION (XNAS:CDW)</v>
    <v>3</v>
    <v>4</v>
    <v>Finance</v>
    <v>12</v>
    <v>184.58</v>
    <v>105.87</v>
    <v>1.1081000000000001</v>
    <v>0.89</v>
    <v>5.3080000000000002E-3</v>
    <v>USD</v>
    <v>CDW Corporation (CDW) is a provider of integrated information technology (IT) solutions in the United States, Canada and the United Kingdom. The Company's segments include Corporate, Public and Other. The Corporate segment consists of private sector business customers in the United States based on employee size between Medium/Large customers, which primarily includes organizations with more than 100 employees, and Small Business customers, which primarily includes organizations with up to 100 employees. Its Public segment comprises government agencies and education and healthcare institutions in the United States. Its Other segment includes Canada and CDW UK. The CDW Advanced Services business consists primarily of customized engineering services delivered by technology specialists and engineers, and managed services that include Infrastructure as a Service (IaaS) offerings. The Company has centralized logistics and headquarters functions that provide services to the segments.</v>
    <v>10000</v>
    <v>Nasdaq Stock Market</v>
    <v>XNAS</v>
    <v>XNAS</v>
    <v>200 N Milwaukee Ave, VERNON HILLS, IL, 60061-1577 US</v>
    <v>169.97810000000001</v>
    <v>122</v>
    <v>Software &amp; IT Services</v>
    <v>Stock</v>
    <v>44340.874488414061</v>
    <v>123</v>
    <v>168.03</v>
    <v>23564010000</v>
    <v>CDW CORPORATION</v>
    <v>CDW CORPORATION</v>
    <v>169.23</v>
    <v>28.5092</v>
    <v>167.67</v>
    <v>168.56</v>
    <v>140203500</v>
    <v>CDW</v>
    <v>CDW CORPORATION (XNAS:CDW)</v>
    <v>3</v>
    <v>821901</v>
    <v>2007</v>
  </rv>
  <rv s="4">
    <v>124</v>
  </rv>
  <rv s="0">
    <v>https://creativecommons.org/licenses/by/3.0</v>
    <v>CC BY 3.0</v>
  </rv>
  <rv s="0">
    <v>http://pt.wikipedia.org/wiki/Cerner</v>
    <v>Wikipedia</v>
  </rv>
  <rv s="1">
    <v>126</v>
    <v>127</v>
  </rv>
  <rv s="2">
    <v>6</v>
    <v>https://www.bing.com/th?id=AMMS_e0bb5526b332b750fa09a0dd438ce3c0&amp;qlt=95</v>
    <v>128</v>
    <v>0</v>
    <v>https://www.bing.com/images/search?form=xlimg&amp;q=cerner</v>
    <v>Image of CERNER CORPORATION</v>
  </rv>
  <rv s="0">
    <v>https://www.bing.com/financeapi/forcetrigger?t=a1phh7&amp;q=XNAS%3aCERN&amp;form=skydnc</v>
    <v>Learn more on Bing</v>
  </rv>
  <rv s="3">
    <v>en-US</v>
    <v>a1phh7</v>
    <v>268435456</v>
    <v>1</v>
    <v>0</v>
    <v>Powered by Refinitiv</v>
    <v>0</v>
    <v>CERNER CORPORATION (XNAS:CERN)</v>
    <v>3</v>
    <v>4</v>
    <v>Finance</v>
    <v>5</v>
    <v>84.2</v>
    <v>65.14</v>
    <v>0.73070000000000002</v>
    <v>-0.53</v>
    <v>-6.8360000000000001E-3</v>
    <v>USD</v>
    <v>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v>
    <v>26400</v>
    <v>Nasdaq Stock Market</v>
    <v>XNAS</v>
    <v>XNAS</v>
    <v>2800 ROCKCREEK PKWY, W0162, ATTN: CERNER LEGAL, NORTH KANSAS CITY, MO, 64117 US</v>
    <v>78.004999999999995</v>
    <v>129</v>
    <v>Healthcare Equipment &amp; Supplies</v>
    <v>Stock</v>
    <v>44340.885764351566</v>
    <v>130</v>
    <v>76.95</v>
    <v>23201416700</v>
    <v>CERNER CORPORATION</v>
    <v>CERNER CORPORATION</v>
    <v>77.97</v>
    <v>29.486699999999999</v>
    <v>77.53</v>
    <v>77</v>
    <v>301317100</v>
    <v>CERN</v>
    <v>CERNER CORPORATION (XNAS:CERN)</v>
    <v>320</v>
    <v>2621888</v>
    <v>1986</v>
  </rv>
  <rv s="4">
    <v>131</v>
  </rv>
  <rv s="0">
    <v>http://en.wikipedia.org/wiki/Charter_Communications</v>
    <v>Wikipedia</v>
  </rv>
  <rv s="1">
    <v>0</v>
    <v>133</v>
  </rv>
  <rv s="2">
    <v>6</v>
    <v>https://www.bing.com/th?id=AMMS_b333c156489d197714faacdcb39f31f8&amp;qlt=95</v>
    <v>134</v>
    <v>0</v>
    <v>https://www.bing.com/images/search?form=xlimg&amp;q=spectrum+official+site</v>
    <v>Image of CHARTER COMMUNICATIONS, INC.</v>
  </rv>
  <rv s="0">
    <v>https://www.bing.com/financeapi/forcetrigger?t=a1pokr&amp;q=XNAS%3aCHTR&amp;form=skydnc</v>
    <v>Learn more on Bing</v>
  </rv>
  <rv s="3">
    <v>en-US</v>
    <v>a1pokr</v>
    <v>268435456</v>
    <v>1</v>
    <v>0</v>
    <v>Powered by Refinitiv</v>
    <v>0</v>
    <v>CHARTER COMMUNICATIONS, INC. (XNAS:CHTR)</v>
    <v>3</v>
    <v>4</v>
    <v>Finance</v>
    <v>12</v>
    <v>712.41</v>
    <v>498.07499999999999</v>
    <v>0.97689999999999999</v>
    <v>10.61</v>
    <v>1.5321E-2</v>
    <v>USD</v>
    <v>Charter Communications, Inc. is a holding company. The Company is a cable operator in the United States and a broadband communications services company. The Company operates in cable services segment. As of December 31, 2016, the Company was engaged in providing video, Internet and voice services to approximately 26.2 million residential and business customers. In addition, it sells video and online advertising inventory to local, regional and national advertising customers and fiber-delivered communications and managed information technology (IT) solutions to enterprise customers. The Company also owns and operates regional sports networks and local sports, news and lifestyle channels and sells security and home management services to the residential marketplace. The Company offers its customers subscription-based video services, including video on demand (VOD), high definition (HD) television, and digital video recorder (DVR) service), Internet services and voice services.</v>
    <v>96100</v>
    <v>Nasdaq Stock Market</v>
    <v>XNAS</v>
    <v>XNAS</v>
    <v>400 Atlantic St, STAMFORD, CT, 06901-3512 US</v>
    <v>707.44</v>
    <v>135</v>
    <v>Telecommunications Services</v>
    <v>Stock</v>
    <v>44340.839460474221</v>
    <v>136</v>
    <v>692.125</v>
    <v>151364974803</v>
    <v>CHARTER COMMUNICATIONS, INC.</v>
    <v>CHARTER COMMUNICATIONS, INC.</v>
    <v>700.29</v>
    <v>39.539400000000001</v>
    <v>692.52</v>
    <v>703.13</v>
    <v>215273100</v>
    <v>CHTR</v>
    <v>CHARTER COMMUNICATIONS, INC. (XNAS:CHTR)</v>
    <v>44</v>
    <v>887868</v>
    <v>2003</v>
  </rv>
  <rv s="4">
    <v>137</v>
  </rv>
  <rv s="0">
    <v>https://www.bing.com/financeapi/forcetrigger?t=a1pmur&amp;q=XNAS%3aCHKP&amp;form=skydnc</v>
    <v>Learn more on Bing</v>
  </rv>
  <rv s="5">
    <v>en-US</v>
    <v>a1pmur</v>
    <v>268435456</v>
    <v>1</v>
    <v>0</v>
    <v>Powered by Refinitiv</v>
    <v>7</v>
    <v>CHECK POINT SOFTWARE TECHNOLOGIES LTD. (XNAS:CHKP)</v>
    <v>8</v>
    <v>9</v>
    <v>Finance</v>
    <v>12</v>
    <v>139.26</v>
    <v>103.43</v>
    <v>0.64429999999999998</v>
    <v>0.94</v>
    <v>7.9600000000000001E-3</v>
    <v>USD</v>
    <v>Check Point Software Technologies Ltd. (Check point) develops, markets and supports a range of products and services for information technology (IT) security. The Company's products and services are sold to enterprises, service providers, small and medium sized businesses and consumers. It offers enterprises a platform to deploy independent, modular and interoperable security applications (Software Blades), such as firewall, virtual private network (VPN), intrusion prevention system (IPS), Application Control, Anti-Bot, antivirus, data loss prevention (DLP), policy management, event analysis or multi-domain management. The Company offers Software Blades grouped into functional packages to address specific security issues. It has product offerings under these packages, which include Next Generation Firewall, Next Generation Threat Prevention, Next Generation Secure Web Gateway and Next Generation Data Protection.</v>
    <v>5314</v>
    <v>Nasdaq Stock Market</v>
    <v>XNAS</v>
    <v>XNAS</v>
    <v>5 Shlomo Kaplan Street, TEL AVIV-YAFO, 67897 IL</v>
    <v>119.63</v>
    <v>Software &amp; IT Services</v>
    <v>Stock</v>
    <v>44340.923782892969</v>
    <v>139</v>
    <v>118.34</v>
    <v>15976470000</v>
    <v>CHECK POINT SOFTWARE TECHNOLOGIES LTD.</v>
    <v>CHECK POINT SOFTWARE TECHNOLOGIES LTD.</v>
    <v>118.48</v>
    <v>19.467700000000001</v>
    <v>118.09</v>
    <v>119.03</v>
    <v>135290700</v>
    <v>CHKP</v>
    <v>CHECK POINT SOFTWARE TECHNOLOGIES LTD. (XNAS:CHKP)</v>
    <v>3</v>
    <v>1261974</v>
    <v>1993</v>
  </rv>
  <rv s="4">
    <v>140</v>
  </rv>
  <rv s="0">
    <v>http://en.wikipedia.org/wiki/Cintas</v>
    <v>Wikipedia</v>
  </rv>
  <rv s="1">
    <v>0</v>
    <v>142</v>
  </rv>
  <rv s="2">
    <v>6</v>
    <v>https://www.bing.com/th?id=AMMS_d718b9917f3cfde6f7c8f99c7ac15056&amp;qlt=95</v>
    <v>143</v>
    <v>0</v>
    <v>https://www.bing.com/images/search?form=xlimg&amp;q=cintas</v>
    <v>Image of CINTAS CORPORATION</v>
  </rv>
  <rv s="0">
    <v>https://www.bing.com/financeapi/forcetrigger?t=a1qgcw&amp;q=XNAS%3aCTAS&amp;form=skydnc</v>
    <v>Learn more on Bing</v>
  </rv>
  <rv s="3">
    <v>en-US</v>
    <v>a1qgcw</v>
    <v>268435456</v>
    <v>1</v>
    <v>0</v>
    <v>Powered by Refinitiv</v>
    <v>0</v>
    <v>CINTAS CORPORATION (XNAS:CTAS)</v>
    <v>3</v>
    <v>4</v>
    <v>Finance</v>
    <v>5</v>
    <v>369.19979999999998</v>
    <v>243.09</v>
    <v>1.4744999999999999</v>
    <v>6.11</v>
    <v>1.7536E-2</v>
    <v>USD</v>
    <v>Cintas Corporation is a provider of corporate identity uniforms through rental and sales programs, as well as a provider of related business services, including entrance mats, restroom cleaning services and supplies, carpet and tile cleaning services, first aid and safety services and fire protection products and services. Its segments include uniform rental and facility services, and first aid and safety services. Its uniform rental and facility service segment offers services, which include rental and servicing of uniforms and other garments, including flame resistant clothing, mats, mops and shop towels, and other ancillary items. Its first aid and safety service segment offers services, which include first aid and safety products and services. Rental processing plants, rental branches, first aid and safety facilities, fire protection facilities, direct sales offices, distribution centers and manufacturing facilities are all utilized by the businesses included in All Other.</v>
    <v>40000</v>
    <v>Nasdaq Stock Market</v>
    <v>XNAS</v>
    <v>XNAS</v>
    <v>PO Box 625737, 6800 Cintas Blvd, CINCINNATI, OH, 45262-5737 US</v>
    <v>356.44</v>
    <v>144</v>
    <v>Professional &amp; Commercial Services</v>
    <v>Stock</v>
    <v>44340.861378633592</v>
    <v>145</v>
    <v>350.21</v>
    <v>37245561528</v>
    <v>CINTAS CORPORATION</v>
    <v>CINTAS CORPORATION</v>
    <v>351.65</v>
    <v>38.9285</v>
    <v>348.43</v>
    <v>354.54</v>
    <v>105053200</v>
    <v>CTAS</v>
    <v>CINTAS CORPORATION (XNAS:CTAS)</v>
    <v>8</v>
    <v>374072</v>
    <v>1986</v>
  </rv>
  <rv s="4">
    <v>146</v>
  </rv>
  <rv s="0">
    <v>http://en.wikipedia.org/wiki/Cisco_Systems</v>
    <v>Wikipedia</v>
  </rv>
  <rv s="1">
    <v>0</v>
    <v>148</v>
  </rv>
  <rv s="2">
    <v>6</v>
    <v>https://www.bing.com/th?id=AMMS_260a2f4e042134ccb72dfe738e09a885&amp;qlt=95</v>
    <v>149</v>
    <v>0</v>
    <v>https://www.bing.com/images/search?form=xlimg&amp;q=cisco+systems</v>
    <v>Image of CISCO SYSTEMS, INC.</v>
  </rv>
  <rv s="0">
    <v>https://www.bing.com/financeapi/forcetrigger?t=a1qe5r&amp;q=XNAS%3aCSCO&amp;form=skydnc</v>
    <v>Learn more on Bing</v>
  </rv>
  <rv s="3">
    <v>en-US</v>
    <v>a1qe5r</v>
    <v>268435456</v>
    <v>1</v>
    <v>0</v>
    <v>Powered by Refinitiv</v>
    <v>0</v>
    <v>CISCO SYSTEMS, INC. (XNAS:CSCO)</v>
    <v>3</v>
    <v>4</v>
    <v>Finance</v>
    <v>5</v>
    <v>54.14</v>
    <v>35.28</v>
    <v>0.89680000000000004</v>
    <v>0.96</v>
    <v>1.831E-2</v>
    <v>USD</v>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v>77500</v>
    <v>Nasdaq Stock Market</v>
    <v>XNAS</v>
    <v>XNAS</v>
    <v>170 West Tasman Dr, SAN JOSE, CA, 95134-1706 US</v>
    <v>53.765000000000001</v>
    <v>150</v>
    <v>Communications &amp; Networking</v>
    <v>Stock</v>
    <v>44340.999661608592</v>
    <v>151</v>
    <v>52.79</v>
    <v>225600192460</v>
    <v>CISCO SYSTEMS, INC.</v>
    <v>CISCO SYSTEMS, INC.</v>
    <v>52.96</v>
    <v>22.145499999999998</v>
    <v>52.43</v>
    <v>53.39</v>
    <v>4225514000</v>
    <v>CSCO</v>
    <v>CISCO SYSTEMS, INC. (XNAS:CSCO)</v>
    <v>1788566</v>
    <v>19861067</v>
    <v>2021</v>
  </rv>
  <rv s="4">
    <v>152</v>
  </rv>
  <rv s="0">
    <v>http://de.wikipedia.org/wiki/Cognizant_Technology_Solutions</v>
    <v>Wikipedia</v>
  </rv>
  <rv s="1">
    <v>73</v>
    <v>154</v>
  </rv>
  <rv s="2">
    <v>6</v>
    <v>https://www.bing.com/th?id=AMMS_0a9eb1e9e470ed950973b5819c13e39a&amp;qlt=95</v>
    <v>155</v>
    <v>0</v>
    <v>https://www.bing.com/images/search?form=xlimg&amp;q=cognizant</v>
    <v>Image of COGNIZANT TECHNOLOGY SOLUTIONS CORPORATION</v>
  </rv>
  <rv s="0">
    <v>https://www.bing.com/financeapi/forcetrigger?t=a1qhz2&amp;q=XNAS%3aCTSH&amp;form=skydnc</v>
    <v>Learn more on Bing</v>
  </rv>
  <rv s="3">
    <v>en-US</v>
    <v>a1qhz2</v>
    <v>268435456</v>
    <v>1</v>
    <v>0</v>
    <v>Powered by Refinitiv</v>
    <v>0</v>
    <v>COGNIZANT TECHNOLOGY SOLUTIONS CORPORATION (XNAS:CTSH)</v>
    <v>3</v>
    <v>4</v>
    <v>Finance</v>
    <v>5</v>
    <v>82.73</v>
    <v>52.23</v>
    <v>1.1549</v>
    <v>-0.14000000000000001</v>
    <v>-1.9650000000000002E-3</v>
    <v>USD</v>
    <v>Cognizant Technology Solutions Corporation is a professional services company. The Company operates through four segments: Financial Services, Healthcare, Manufacturing/Retail/Logistics, and Other. The Financial Services segment includes customers providing banking/transaction processing, capital markets and insurance services. The Healthcare segment includes healthcare providers and payers, as well as life sciences customers, including pharmaceutical, biotech and medical device companies. The Manufacturing/Retail/Logistics segment includes manufacturers, retailers, travel and other hospitality customers, as well as customers providing logistics services. The Other segment includes its information, media and entertainment services, communications and high technology operating segments. Its services include consulting and technology services and outsourcing services. Its outsourcing services include application maintenance, IT infrastructure services and business process services.</v>
    <v>296500</v>
    <v>Nasdaq Stock Market</v>
    <v>XNAS</v>
    <v>XNAS</v>
    <v>300 FRANK W. BURR BLVD., STE. 36, 6 FL., TEANECK, NJ, 07666 US</v>
    <v>71.885000000000005</v>
    <v>156</v>
    <v>Software &amp; IT Services</v>
    <v>Stock</v>
    <v>44340.998733032029</v>
    <v>157</v>
    <v>71</v>
    <v>37498986090</v>
    <v>COGNIZANT TECHNOLOGY SOLUTIONS CORPORATION</v>
    <v>COGNIZANT TECHNOLOGY SOLUTIONS CORPORATION</v>
    <v>71.75</v>
    <v>24.948699999999999</v>
    <v>71.239999999999995</v>
    <v>71.099999999999994</v>
    <v>527411900</v>
    <v>CTSH</v>
    <v>COGNIZANT TECHNOLOGY SOLUTIONS CORPORATION (XNAS:CTSH)</v>
    <v>100</v>
    <v>4508049</v>
    <v>1988</v>
  </rv>
  <rv s="4">
    <v>158</v>
  </rv>
  <rv s="0">
    <v>http://en.wikipedia.org/wiki/Comcast</v>
    <v>Wikipedia</v>
  </rv>
  <rv s="1">
    <v>0</v>
    <v>160</v>
  </rv>
  <rv s="2">
    <v>6</v>
    <v>https://www.bing.com/th?id=AMMS_6f59674c62a3034ced8557d9ffa6bbea&amp;qlt=95</v>
    <v>161</v>
    <v>0</v>
    <v>https://www.bing.com/images/search?form=xlimg&amp;q=comcast+corporation</v>
    <v>Image of COMCAST CORPORATION</v>
  </rv>
  <rv s="0">
    <v>https://www.bing.com/financeapi/forcetrigger?t=a1pwqh&amp;q=XNAS%3aCMCSA&amp;form=skydnc</v>
    <v>Learn more on Bing</v>
  </rv>
  <rv s="3">
    <v>en-US</v>
    <v>a1pwqh</v>
    <v>268435456</v>
    <v>1</v>
    <v>0</v>
    <v>Powered by Refinitiv</v>
    <v>0</v>
    <v>COMCAST CORPORATION (XNAS:CMCSA)</v>
    <v>3</v>
    <v>4</v>
    <v>Finance</v>
    <v>5</v>
    <v>59.11</v>
    <v>37.770000000000003</v>
    <v>1.0390999999999999</v>
    <v>0.57999999999999996</v>
    <v>1.0529999999999999E-2</v>
    <v>USD</v>
    <v>Comcast Corporation is a media and technology company. The Company has two primary businesses: Comcast Cable and NBCUniversal. Its Comcast Cable business operates in the Cable Communications segment. Its NBCUniversal business operates in four business segments: Cable Networks, Broadcast Television, Filmed Entertainment and Theme Parks. Its Cable Communications segment consists of the operations of Comcast Cable, which provides video, high-speed Internet and voice services to residential customers under the XFINITY brand. Its Cable Networks segment consists of a portfolio of national cable networks. Its Broadcast Television segment operates the NBC and Telemundo broadcast networks. Its Filmed Entertainment segment primarily produces, acquires, markets and distributes filmed entertainment across the world, and it also develops, produces and licenses live stage plays. Its Theme Parks segment consists primarily of its Universal theme parks in Orlando, Florida and Hollywood, California.</v>
    <v>168000</v>
    <v>Nasdaq Stock Market</v>
    <v>XNAS</v>
    <v>XNAS</v>
    <v>1 Comcast Ctr, PHILADELPHIA, PA, 19103-2838 US</v>
    <v>55.765000000000001</v>
    <v>162</v>
    <v>Media &amp; Publishing</v>
    <v>Stock</v>
    <v>44340.990461620313</v>
    <v>163</v>
    <v>54.8675</v>
    <v>255718125739</v>
    <v>COMCAST CORPORATION</v>
    <v>COMCAST CORPORATION</v>
    <v>55.369599999999998</v>
    <v>22.069500000000001</v>
    <v>55.08</v>
    <v>55.66</v>
    <v>4594289000</v>
    <v>CMCSA</v>
    <v>COMCAST CORPORATION (XNAS:CMCSA)</v>
    <v>8098</v>
    <v>17717453</v>
    <v>2001</v>
  </rv>
  <rv s="4">
    <v>164</v>
  </rv>
  <rv s="0">
    <v>https://www.bing.com/financeapi/forcetrigger?t=a1q8r7&amp;q=XNAS%3aCPRT&amp;form=skydnc</v>
    <v>Learn more on Bing</v>
  </rv>
  <rv s="5">
    <v>en-US</v>
    <v>a1q8r7</v>
    <v>268435456</v>
    <v>1</v>
    <v>0</v>
    <v>Powered by Refinitiv</v>
    <v>7</v>
    <v>COPART, INC. (XNAS:CPRT)</v>
    <v>8</v>
    <v>9</v>
    <v>Finance</v>
    <v>12</v>
    <v>130.96</v>
    <v>78.55</v>
    <v>1.0279</v>
    <v>1.1200000000000001</v>
    <v>8.8179999999999994E-3</v>
    <v>USD</v>
    <v>Copart, Inc. (Copart) is a provider of online auctions and vehicle remarketing services in the United States, Canada, the United Kingdom, the United Arab Emirates, Oman, Bahrain, Brazil, Ireland, Spain and India. The Company also provides vehicle remarketing services in Germany. The Company operates through two segments: United States and International. The Company provides vehicle sellers with a range of services to process and sell vehicles primarily over the Internet through its virtual bidding third generation Internet auction-style sales technology (VB3). The Company's service offerings include Online Seller Access, Salvage Estimation Services, Estimating Services, End-Of-Life Vehicle Processing, Virtual Insured Exchange (VIX), Transportation Services, Vehicle Inspection Stations, On-Demand Reporting, Department of Motor Vehicle (DMV) Processing, Flexible Vehicle Processing Programs, Buy It Now, Member Network, Sales Process, Copart Dealer Services, CashForCars.com and U-Pull-It.</v>
    <v>7600</v>
    <v>Nasdaq Stock Market</v>
    <v>XNAS</v>
    <v>XNAS</v>
    <v>14185 Dallas Pkwy Ste 300, DALLAS, TX, 75254-1327 US</v>
    <v>128.56729999999999</v>
    <v>Specialty Retailers</v>
    <v>Stock</v>
    <v>44340.952367164064</v>
    <v>166</v>
    <v>126.82</v>
    <v>30281660379</v>
    <v>COPART, INC.</v>
    <v>COPART, INC.</v>
    <v>128.30000000000001</v>
    <v>36.3369</v>
    <v>127.02</v>
    <v>128.13999999999999</v>
    <v>236317000</v>
    <v>CPRT</v>
    <v>COPART, INC. (XNAS:CPRT)</v>
    <v>79</v>
    <v>915816</v>
    <v>2012</v>
  </rv>
  <rv s="4">
    <v>167</v>
  </rv>
  <rv s="0">
    <v>http://en.wikipedia.org/wiki/Costco</v>
    <v>Wikipedia</v>
  </rv>
  <rv s="1">
    <v>0</v>
    <v>169</v>
  </rv>
  <rv s="2">
    <v>6</v>
    <v>https://www.bing.com/th?id=AMMS_90a82bf7d9bf620ad2bd5ec79a4882af&amp;qlt=95</v>
    <v>170</v>
    <v>0</v>
    <v>https://www.bing.com/images/search?form=xlimg&amp;q=costco</v>
    <v>Image of COSTCO WHOLESALE CORPORATION</v>
  </rv>
  <rv s="0">
    <v>https://www.bing.com/financeapi/forcetrigger?t=a1q6k2&amp;q=XNAS%3aCOST&amp;form=skydnc</v>
    <v>Learn more on Bing</v>
  </rv>
  <rv s="3">
    <v>en-US</v>
    <v>a1q6k2</v>
    <v>268435456</v>
    <v>1</v>
    <v>0</v>
    <v>Powered by Refinitiv</v>
    <v>0</v>
    <v>COSTCO WHOLESALE CORPORATION (XNAS:COST)</v>
    <v>3</v>
    <v>4</v>
    <v>Finance</v>
    <v>5</v>
    <v>389.45</v>
    <v>286.33909999999997</v>
    <v>0.64839999999999998</v>
    <v>2.73</v>
    <v>7.1709999999999994E-3</v>
    <v>USD</v>
    <v>Costco Wholesale Corporation is engaged in the operation of membership warehouses in the United States and Puerto Rico, Canada, the United Kingdom, Mexico, Japan, Australia, Spain, and through its subsidiaries in Taiwan and Korea. As of August 28, 2016, the Company operated 715 warehouses across the world. The Company's average warehouse space is approximately 144,000 square feet. The Company's warehouses on average operate on a seven-day, 70-hour week. The Company offers merchandise in various categories, which include foods (including dry foods, packaged foods and groceries); sundries (including snack foods, candy, alcoholic and nonalcoholic beverages, and cleaning supplies); hardlines (including appliances, electronics, health and beauty aids, hardware, and garden and patio); fresh foods (including meat, produce, deli and bakery); softlines (including apparel and small appliances), and other (including gas stations and pharmacy).</v>
    <v>156000</v>
    <v>Nasdaq Stock Market</v>
    <v>XNAS</v>
    <v>XNAS</v>
    <v>999 Lake Dr, ISSAQUAH, WA, 98027-8990 US</v>
    <v>385.76</v>
    <v>171</v>
    <v>Diversified Retail</v>
    <v>Stock</v>
    <v>44340.999918228903</v>
    <v>172</v>
    <v>381.89</v>
    <v>169689585610</v>
    <v>COSTCO WHOLESALE CORPORATION</v>
    <v>COSTCO WHOLESALE CORPORATION</v>
    <v>384.3374</v>
    <v>39.213700000000003</v>
    <v>380.72</v>
    <v>383.45</v>
    <v>442533800</v>
    <v>COST</v>
    <v>COSTCO WHOLESALE CORPORATION (XNAS:COST)</v>
    <v>4354</v>
    <v>1917841</v>
    <v>1987</v>
  </rv>
  <rv s="4">
    <v>173</v>
  </rv>
  <rv s="0">
    <v>http://en.wikipedia.org/wiki/CSX_Corporation</v>
    <v>Wikipedia</v>
  </rv>
  <rv s="1">
    <v>73</v>
    <v>175</v>
  </rv>
  <rv s="2">
    <v>6</v>
    <v>https://www.bing.com/th?id=AMMS_5b0f0cdcafcbe75177abc315a7ff86fa&amp;qlt=95</v>
    <v>176</v>
    <v>0</v>
    <v>https://www.bing.com/images/search?form=xlimg&amp;q=csx+corporation</v>
    <v>Image of CSX Corporation</v>
  </rv>
  <rv s="0">
    <v>https://www.bing.com/financeapi/forcetrigger?t=a1qga2&amp;q=XNAS%3aCSX&amp;form=skydnc</v>
    <v>Learn more on Bing</v>
  </rv>
  <rv s="3">
    <v>en-US</v>
    <v>a1qga2</v>
    <v>268435456</v>
    <v>1</v>
    <v>0</v>
    <v>Powered by Refinitiv</v>
    <v>0</v>
    <v>CSX Corporation (XNAS:CSX)</v>
    <v>3</v>
    <v>4</v>
    <v>Finance</v>
    <v>5</v>
    <v>104.87</v>
    <v>65.37</v>
    <v>1.1632</v>
    <v>1.06</v>
    <v>1.0784E-2</v>
    <v>USD</v>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The Company categorizes its products into three primary lines of business: merchandise, intermodal and coal. The Company's intermodal business links customers to railroads through trucks and terminals. The Company's merchandise business consists of shipments in markets, such as agricultural and food products, fertilizers, chemicals, automotive, metals and equipment, minerals and forest products. The Company's coal business transports domestic coal, coke and iron ore to electricity-generating power plants, steel manufacturers and industrial plants, as well as export coal to deep-water port facilities.</v>
    <v>19000</v>
    <v>Nasdaq Stock Market</v>
    <v>XNAS</v>
    <v>XNAS</v>
    <v>500 Water St Fl 15, JACKSONVILLE, FL, 32202-4423 US</v>
    <v>99.61</v>
    <v>177</v>
    <v>Freight &amp; Logistics Services</v>
    <v>Stock</v>
    <v>44340.946292916407</v>
    <v>178</v>
    <v>98.58</v>
    <v>75247709870</v>
    <v>CSX Corporation</v>
    <v>CSX Corporation</v>
    <v>99.2</v>
    <v>28.1434</v>
    <v>98.29</v>
    <v>99.35</v>
    <v>757400200</v>
    <v>CSX</v>
    <v>CSX Corporation (XNAS:CSX)</v>
    <v>140</v>
    <v>3959622</v>
    <v>1978</v>
  </rv>
  <rv s="4">
    <v>179</v>
  </rv>
  <rv s="0">
    <v>https://www.bing.com/financeapi/forcetrigger?t=a1rgxm&amp;q=XNAS%3aDXCM&amp;form=skydnc</v>
    <v>Learn more on Bing</v>
  </rv>
  <rv s="5">
    <v>en-US</v>
    <v>a1rgxm</v>
    <v>268435456</v>
    <v>1</v>
    <v>0</v>
    <v>Powered by Refinitiv</v>
    <v>7</v>
    <v>DEXCOM, INC. (XNAS:DXCM)</v>
    <v>8</v>
    <v>9</v>
    <v>Finance</v>
    <v>5</v>
    <v>456.23</v>
    <v>305.63</v>
    <v>0.75549999999999995</v>
    <v>13.3</v>
    <v>3.8879000000000004E-2</v>
    <v>USD</v>
    <v>Dexcom, Inc. is a medical device company. The Company is primarily focused on the design, development and commercialization of continuous glucose monitoring (CGM) systems for use by people with diabetes and by healthcare providers. Its products include Dexcom G6 and Dexcom Share. The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 on the patient’s iPhone, iPod touch, iPad or Android mobile device to securely and wirelessly transmit glucose information to the cloud and then to apps on the mobile devices of up to five designated recipients, who can remotely monitor a patient’s glucose information and receive alert notifications.</v>
    <v>5500</v>
    <v>Nasdaq Stock Market</v>
    <v>XNAS</v>
    <v>XNAS</v>
    <v>6340 Sequence Dr, SAN DIEGO, CA, 92121-4356 US</v>
    <v>363.01</v>
    <v>Healthcare Equipment &amp; Supplies</v>
    <v>Stock</v>
    <v>44340.999661064059</v>
    <v>181</v>
    <v>343.74</v>
    <v>34368299139</v>
    <v>DEXCOM, INC.</v>
    <v>DEXCOM, INC.</v>
    <v>346.74</v>
    <v>68.5364</v>
    <v>342.09</v>
    <v>355.39</v>
    <v>96705870</v>
    <v>DXCM</v>
    <v>DEXCOM, INC. (XNAS:DXCM)</v>
    <v>2378</v>
    <v>895466</v>
    <v>1999</v>
  </rv>
  <rv s="4">
    <v>182</v>
  </rv>
  <rv s="0">
    <v>http://en.wikipedia.org/wiki/DocuSign</v>
    <v>Wikipedia</v>
  </rv>
  <rv s="1">
    <v>0</v>
    <v>184</v>
  </rv>
  <rv s="2">
    <v>6</v>
    <v>https://www.bing.com/th?id=AMMS_f9e00cce32f84dd4a56203773406542e&amp;qlt=95</v>
    <v>185</v>
    <v>0</v>
    <v>https://www.bing.com/images/search?form=xlimg&amp;q=docusign</v>
    <v>Image of DOCUSIGN, INC.</v>
  </rv>
  <rv s="0">
    <v>https://www.bing.com/financeapi/forcetrigger?t=azqpgh&amp;q=XNAS%3aDOCU&amp;form=skydnc</v>
    <v>Learn more on Bing</v>
  </rv>
  <rv s="8">
    <v>en-US</v>
    <v>azqpgh</v>
    <v>268435456</v>
    <v>1</v>
    <v>0</v>
    <v>Powered by Refinitiv</v>
    <v>13</v>
    <v>DOCUSIGN, INC. (XNAS:DOCU)</v>
    <v>3</v>
    <v>14</v>
    <v>Finance</v>
    <v>5</v>
    <v>290.23</v>
    <v>118.21</v>
    <v>1.8</v>
    <v>9.2899999999999996E-3</v>
    <v>USD</v>
    <v>DocuSign Inc offers DocuSign Agreement Cloud, a software suite for automating the agreement process. It includes DocuSign eSignature, an electronic signature solution that allows an agreement to be signed electronically on a variety of devices. The Agreement Cloud also includes several other applications for automating pre- and post-signature processes, such as automatically generating an agreement from data in other systems, supporting negotiation workflow, collecting payment after signatures, and using artificial intelligence (AI) to analyze a collection of agreements for risks and opportunities. The Agreement Cloud also includes hundreds of integrations to other systems, so agreement processes can integrate with other business processes and data. Its key Agreement Cloud products include DocuSign Contract Lifecycle Management (CLM), Intelligent Insights, Gen for Salesforce, Negotiate for Salesforce, Guided Forms, Click, Identify, Standards-Based Signatures, Payments and eNotary.</v>
    <v>5630</v>
    <v>Nasdaq Stock Market</v>
    <v>XNAS</v>
    <v>XNAS</v>
    <v>221 Main St Ste 1550, SAN FRANCISCO, CA, 94105-1947 US</v>
    <v>198.37</v>
    <v>186</v>
    <v>Software &amp; IT Services</v>
    <v>Stock</v>
    <v>44340.999089791403</v>
    <v>187</v>
    <v>194.57</v>
    <v>38045445355</v>
    <v>DOCUSIGN, INC.</v>
    <v>DOCUSIGN, INC.</v>
    <v>196</v>
    <v>193.75</v>
    <v>195.55</v>
    <v>194556100</v>
    <v>DOCU</v>
    <v>DOCUSIGN, INC. (XNAS:DOCU)</v>
    <v>2527</v>
    <v>2385008</v>
    <v>2012</v>
  </rv>
  <rv s="4">
    <v>188</v>
  </rv>
  <rv s="7">
    <v>12</v>
    <v>Beta</v>
    <v>0</v>
  </rv>
  <rv s="0">
    <v>http://es.wikipedia.org/wiki/Dollar_Tree</v>
    <v>Wikipedia</v>
  </rv>
  <rv s="1">
    <v>0</v>
    <v>191</v>
  </rv>
  <rv s="2">
    <v>6</v>
    <v>https://www.bing.com/th?id=AMMS_eb776f353dc51a5bd62881f67ca91705&amp;qlt=95</v>
    <v>192</v>
    <v>0</v>
    <v>https://www.bing.com/images/search?form=xlimg&amp;q=dollar+tree</v>
    <v>Image of DOLLAR TREE, INC.</v>
  </rv>
  <rv s="0">
    <v>https://www.bing.com/financeapi/forcetrigger?t=a1r63m&amp;q=XNAS%3aDLTR&amp;form=skydnc</v>
    <v>Learn more on Bing</v>
  </rv>
  <rv s="3">
    <v>en-US</v>
    <v>a1r63m</v>
    <v>268435456</v>
    <v>1</v>
    <v>0</v>
    <v>Powered by Refinitiv</v>
    <v>0</v>
    <v>DOLLAR TREE, INC. (XNAS:DLTR)</v>
    <v>3</v>
    <v>4</v>
    <v>Finance</v>
    <v>5</v>
    <v>120.37</v>
    <v>83.58</v>
    <v>0.86250000000000004</v>
    <v>-1.38</v>
    <v>-1.2709999999999999E-2</v>
    <v>USD</v>
    <v>Dollar Tree, Inc. is an operator of discount variety stores. As of January 28, 2017, the Company operated 14,334 stores in 48 states and the District of Columbia, and five Canadian provinces. Its segments include Dollar Tree and Family Dollar. The Dollar Tree segment is the operator of discount variety stores offering merchandise at a fixed price. The Family Dollar segment operates a chain of general merchandise retail discount stores providing consumers with a selection of merchandise in neighborhood stores. Its stores operate under the names of Dollar Tree, Family Dollar and Dollar Tree Canada. As of January 28, 2017, the Dollar Tree segment included 6,360 stores operating under the Dollar Tree and Dollar Tree Canada brands, 11 distribution centers in the United States and two in Canada and a Store Support Center in Chesapeake, Virginia, and 11 distribution centers and a Store Support Center in Matthews, North Carolina under the Family Dollar brand.</v>
    <v>60217</v>
    <v>Nasdaq Stock Market</v>
    <v>XNAS</v>
    <v>XNAS</v>
    <v>500 Volvo Pkwy, CHESAPEAKE, VA, 23320-1604 US</v>
    <v>109.34</v>
    <v>193</v>
    <v>Diversified Retail</v>
    <v>Stock</v>
    <v>44340.98233015</v>
    <v>194</v>
    <v>107.07</v>
    <v>25085829120</v>
    <v>DOLLAR TREE, INC.</v>
    <v>DOLLAR TREE, INC.</v>
    <v>109.05</v>
    <v>18.9376</v>
    <v>108.58</v>
    <v>107.2</v>
    <v>234009600</v>
    <v>DLTR</v>
    <v>DOLLAR TREE, INC. (XNAS:DLTR)</v>
    <v>264</v>
    <v>1356323</v>
    <v>2008</v>
  </rv>
  <rv s="4">
    <v>195</v>
  </rv>
  <rv s="0">
    <v>http://en.wikipedia.org/wiki/EBay</v>
    <v>Wikipedia</v>
  </rv>
  <rv s="1">
    <v>0</v>
    <v>197</v>
  </rv>
  <rv s="2">
    <v>6</v>
    <v>https://www.bing.com/th?id=AMMS_8075a378e41891bb0de7ddc6ae090353&amp;qlt=95</v>
    <v>198</v>
    <v>0</v>
    <v>https://www.bing.com/images/search?form=xlimg&amp;q=ebay</v>
    <v>Image of EBAY INC.</v>
  </rv>
  <rv s="0">
    <v>https://www.bing.com/financeapi/forcetrigger?t=a1rk52&amp;q=XNAS%3aEBAY&amp;form=skydnc</v>
    <v>Learn more on Bing</v>
  </rv>
  <rv s="3">
    <v>en-US</v>
    <v>a1rk52</v>
    <v>268435456</v>
    <v>1</v>
    <v>0</v>
    <v>Powered by Refinitiv</v>
    <v>0</v>
    <v>EBAY INC. (XNAS:EBAY)</v>
    <v>3</v>
    <v>4</v>
    <v>Finance</v>
    <v>5</v>
    <v>65.11</v>
    <v>42.854999999999997</v>
    <v>1.1432</v>
    <v>-0.05</v>
    <v>-8.1939999999999997E-4</v>
    <v>USD</v>
    <v>eBay Inc., is a global commerce company. The Company’s technologies and services are designed to give buyers choice and relevant inventory and enable sellers worldwide to offer their inventory for sale, virtually anytime and anywhere. Its multi-screen approach offers downloadable, applications for iPhone operating system (iOS) and android mobile devices that allow access to some of its websites and vertical shopping experiences. The Company’s platforms are accessible through a traditional online experience, mobile devices and its application programming interfaces (APIs). Its segments include Marketplace and Classifieds. Marketplace includes its online marketplace, its localized counterparts, and the eBay suite of mobile application. Classifieds includes a collection of brands such as Mobile.de, Kijiji, Gumtree, Marktplaats, and eBay Kleinanzeigen.</v>
    <v>12700</v>
    <v>Nasdaq Stock Market</v>
    <v>XNAS</v>
    <v>XNAS</v>
    <v>2025 Hamilton Ave, SAN JOSE, CA, 95125-5904 US</v>
    <v>61.95</v>
    <v>199</v>
    <v>Software &amp; IT Services</v>
    <v>Stock</v>
    <v>44340.982679027344</v>
    <v>200</v>
    <v>60.93</v>
    <v>41536525849</v>
    <v>EBAY INC.</v>
    <v>EBAY INC.</v>
    <v>61.24</v>
    <v>15.7974</v>
    <v>61.02</v>
    <v>60.97</v>
    <v>681261700</v>
    <v>EBAY</v>
    <v>EBAY INC. (XNAS:EBAY)</v>
    <v>18329</v>
    <v>8780860</v>
    <v>1998</v>
  </rv>
  <rv s="4">
    <v>201</v>
  </rv>
  <rv s="0">
    <v>http://en.wikipedia.org/wiki/Electronic_Arts</v>
    <v>Wikipedia</v>
  </rv>
  <rv s="1">
    <v>0</v>
    <v>203</v>
  </rv>
  <rv s="2">
    <v>6</v>
    <v>https://www.bing.com/th?id=AMMS_e6ab35e9a92f5ffe4c14740d283628a4&amp;qlt=95</v>
    <v>204</v>
    <v>0</v>
    <v>https://www.bing.com/images/search?form=xlimg&amp;q=electronic+arts</v>
    <v>Image of ELECTRONIC ARTS INC.</v>
  </rv>
  <rv s="0">
    <v>https://www.bing.com/financeapi/forcetrigger?t=a1rjec&amp;q=XNAS%3aEA&amp;form=skydnc</v>
    <v>Learn more on Bing</v>
  </rv>
  <rv s="3">
    <v>en-US</v>
    <v>a1rjec</v>
    <v>268435456</v>
    <v>1</v>
    <v>0</v>
    <v>Powered by Refinitiv</v>
    <v>0</v>
    <v>ELECTRONIC ARTS INC. (XNAS:EA)</v>
    <v>3</v>
    <v>4</v>
    <v>Finance</v>
    <v>5</v>
    <v>150.30000000000001</v>
    <v>110.15</v>
    <v>0.89159999999999995</v>
    <v>1.92</v>
    <v>1.3697999999999998E-2</v>
    <v>USD</v>
    <v>Electronic Arts Inc. develops, markets, publishes and distributes games, content and services that can be played by consumers on a range of platforms, which include consoles, personal computers (PCs), mobile phones and tablets. The Company's games and services are based on a portfolio of intellectual property that includes established brands, such as FIFA, Madden NFL, Star Wars, Battlefield, the Sims and Need for Speed.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Its mobile, tablet and PC free-to-download games and additional content are available through third-party application storefronts, such as the Apple Application Store and Google Play.</v>
    <v>9800</v>
    <v>Nasdaq Stock Market</v>
    <v>XNAS</v>
    <v>XNAS</v>
    <v>209 Redwood Shores Pkwy, REDWOOD CITY, CA, 94065-1175 US</v>
    <v>142.66900000000001</v>
    <v>205</v>
    <v>Software &amp; IT Services</v>
    <v>Stock</v>
    <v>44340.945201573435</v>
    <v>206</v>
    <v>140.16999999999999</v>
    <v>40868778340</v>
    <v>ELECTRONIC ARTS INC.</v>
    <v>ELECTRONIC ARTS INC.</v>
    <v>141.38999999999999</v>
    <v>49.576599999999999</v>
    <v>140.16999999999999</v>
    <v>142.09</v>
    <v>287626000</v>
    <v>EA</v>
    <v>ELECTRONIC ARTS INC. (XNAS:EA)</v>
    <v>75</v>
    <v>2372935</v>
    <v>1991</v>
  </rv>
  <rv s="4">
    <v>207</v>
  </rv>
  <rv s="0">
    <v>http://zh.wikipedia.org/wiki/艾索倫電力公司</v>
    <v>Wikipedia</v>
  </rv>
  <rv s="1">
    <v>0</v>
    <v>209</v>
  </rv>
  <rv s="2">
    <v>6</v>
    <v>https://www.bing.com/th?id=AMMS_0ad5d5fe4357eb2ac7de4f7ed88926c0&amp;qlt=95</v>
    <v>210</v>
    <v>0</v>
    <v>https://www.bing.com/images/search?form=xlimg&amp;q=exelon</v>
    <v>Image of EXELON CORPORATION</v>
  </rv>
  <rv s="0">
    <v>https://www.bing.com/financeapi/forcetrigger?t=a1shjc&amp;q=XNAS%3aEXC&amp;form=skydnc</v>
    <v>Learn more on Bing</v>
  </rv>
  <rv s="3">
    <v>en-US</v>
    <v>a1shjc</v>
    <v>268435456</v>
    <v>1</v>
    <v>0</v>
    <v>Powered by Refinitiv</v>
    <v>0</v>
    <v>EXELON CORPORATION (XNAS:EXC)</v>
    <v>3</v>
    <v>4</v>
    <v>Finance</v>
    <v>5</v>
    <v>46.365000000000002</v>
    <v>33.965000000000003</v>
    <v>0.43070000000000003</v>
    <v>0.19</v>
    <v>4.1449999999999994E-3</v>
    <v>USD</v>
    <v>Exelon Corporation is a utility services holding company. The Company, through its subsidiary, Exelon Generation Company, LLC (Generation), is engaged in the energy generation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delivery businesses. It operates through 12 segments: Generation's six segments: Mid-Atlantic, Midwest, New England, New York, ERCOT and Other Power Regions; ComEd; PECO; BGE, and PHI's three utility segments: Pepco, DPL and ACE. Generation's integrated business consists of the generation, physical delivery and marketing of power across geographical regions through its customer-facing business, Constellation, which sells electricity and natural gas to both wholesale and retail customers.</v>
    <v>32340</v>
    <v>Nasdaq Stock Market</v>
    <v>XNAS</v>
    <v>XNAS</v>
    <v>PO BOX 805398, CHICAGO, IL, 60680-5398 US</v>
    <v>46.27</v>
    <v>211</v>
    <v>Electrical Utilities &amp; IPPs</v>
    <v>Stock</v>
    <v>44340.959577673435</v>
    <v>212</v>
    <v>45.704999999999998</v>
    <v>44979374456</v>
    <v>EXELON CORPORATION</v>
    <v>EXELON CORPORATION</v>
    <v>46.01</v>
    <v>41.203800000000001</v>
    <v>45.84</v>
    <v>46.03</v>
    <v>977175200</v>
    <v>EXC</v>
    <v>EXELON CORPORATION (XNAS:EXC)</v>
    <v>738</v>
    <v>5970209</v>
    <v>1999</v>
  </rv>
  <rv s="4">
    <v>213</v>
  </rv>
  <rv s="0">
    <v>http://en.wikipedia.org/wiki/Facebook</v>
    <v>Wikipedia</v>
  </rv>
  <rv s="1">
    <v>0</v>
    <v>215</v>
  </rv>
  <rv s="2">
    <v>6</v>
    <v>https://www.bing.com/th?id=AMMS_928a62c96ba821e882cb080907bbb897&amp;qlt=95</v>
    <v>216</v>
    <v>0</v>
    <v>https://www.bing.com/images/search?form=xlimg&amp;q=facebook</v>
    <v>Image of FACEBOOK, INC.</v>
  </rv>
  <rv s="0">
    <v>https://www.bing.com/financeapi/forcetrigger?t=a1slm7&amp;q=XNAS%3aFB&amp;form=skydnc</v>
    <v>Learn more on Bing</v>
  </rv>
  <rv s="3">
    <v>en-US</v>
    <v>a1slm7</v>
    <v>268435456</v>
    <v>1</v>
    <v>0</v>
    <v>Powered by Refinitiv</v>
    <v>0</v>
    <v>FACEBOOK, INC. (XNAS:FB)</v>
    <v>3</v>
    <v>4</v>
    <v>Finance</v>
    <v>5</v>
    <v>331.81</v>
    <v>207.11</v>
    <v>1.3010999999999999</v>
    <v>8.4</v>
    <v>2.6563E-2</v>
    <v>USD</v>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v>60654</v>
    <v>Nasdaq Stock Market</v>
    <v>XNAS</v>
    <v>XNAS</v>
    <v>1601 Willow Rd, MENLO PARK, CA, 94025-1452 US</v>
    <v>325.95</v>
    <v>217</v>
    <v>Software &amp; IT Services</v>
    <v>Stock</v>
    <v>44340.999890763283</v>
    <v>218</v>
    <v>318.02999999999997</v>
    <v>920477002950</v>
    <v>FACEBOOK, INC.</v>
    <v>FACEBOOK, INC.</v>
    <v>318.20999999999998</v>
    <v>27.8065</v>
    <v>316.23</v>
    <v>324.63</v>
    <v>2835465000</v>
    <v>FB</v>
    <v>FACEBOOK, INC. (XNAS:FB)</v>
    <v>102188</v>
    <v>20344931</v>
    <v>2004</v>
  </rv>
  <rv s="4">
    <v>219</v>
  </rv>
  <rv s="0">
    <v>http://en.wikipedia.org/wiki/Fastenal</v>
    <v>Wikipedia</v>
  </rv>
  <rv s="1">
    <v>0</v>
    <v>221</v>
  </rv>
  <rv s="2">
    <v>6</v>
    <v>https://www.bing.com/th?id=AMMS_f049fad18410b76b6c7973a054ec9842&amp;qlt=95</v>
    <v>222</v>
    <v>0</v>
    <v>https://www.bing.com/images/search?form=xlimg&amp;q=fastenal</v>
    <v>Image of Fastenal Company</v>
  </rv>
  <rv s="0">
    <v>https://www.bing.com/financeapi/forcetrigger?t=a1sl52&amp;q=XNAS%3aFAST&amp;form=skydnc</v>
    <v>Learn more on Bing</v>
  </rv>
  <rv s="3">
    <v>en-US</v>
    <v>a1sl52</v>
    <v>268435456</v>
    <v>1</v>
    <v>0</v>
    <v>Powered by Refinitiv</v>
    <v>0</v>
    <v>Fastenal Company (XNAS:FAST)</v>
    <v>3</v>
    <v>4</v>
    <v>Finance</v>
    <v>5</v>
    <v>54.320300000000003</v>
    <v>38.188600000000001</v>
    <v>1.2488999999999999</v>
    <v>0.48</v>
    <v>9.1660000000000005E-3</v>
    <v>USD</v>
    <v>Fastenal Company is engaged in wholesale distribution of industrial and construction supplies. The Company is engaged in fastener distribution, and non-fastener maintenance and supply business. As of December 31, 2016, it distributed these supplies through a network of approximately 2,500 stores. Its customers are in the manufacturing and non-residential construction markets. The manufacturing market includes both original equipment manufacturers (OEM) and maintenance, repair, and operations (MRO). The non-residential construction market includes general, electrical, plumbing, sheet metal and road contractors. Other users of its products include farmers, truckers, railroads, oil exploration, production and refinement companies, mining companies, federal, state, and local governmental entities, schools and certain retail trades. Its original product offerings are fasteners and other industrial and construction supplies, many of which are sold under the Fastenal product name.</v>
    <v>20532</v>
    <v>Nasdaq Stock Market</v>
    <v>XNAS</v>
    <v>XNAS</v>
    <v>2001 Theurer Blvd, WINONA, MN, 55987-1500 US</v>
    <v>53.08</v>
    <v>223</v>
    <v>Machinery, Equipment &amp; Components</v>
    <v>Stock</v>
    <v>44340.874464825778</v>
    <v>224</v>
    <v>52.384999999999998</v>
    <v>30353932420</v>
    <v>Fastenal Company</v>
    <v>Fastenal Company</v>
    <v>52.575000000000003</v>
    <v>34.765599999999999</v>
    <v>52.37</v>
    <v>52.85</v>
    <v>574341200</v>
    <v>FAST</v>
    <v>Fastenal Company (XNAS:FAST)</v>
    <v>30</v>
    <v>2958620</v>
    <v>1968</v>
  </rv>
  <rv s="4">
    <v>225</v>
  </rv>
  <rv s="0">
    <v>http://en.wikipedia.org/wiki/Fiserv</v>
    <v>Wikipedia</v>
  </rv>
  <rv s="1">
    <v>0</v>
    <v>227</v>
  </rv>
  <rv s="2">
    <v>6</v>
    <v>https://www.bing.com/th?id=AMMS_4a33224cd1a9caddceda1cbd5bdbc2d7&amp;qlt=95</v>
    <v>228</v>
    <v>0</v>
    <v>https://www.bing.com/images/search?form=xlimg&amp;q=fiserv</v>
    <v>Image of FISERV, INC.</v>
  </rv>
  <rv s="0">
    <v>https://www.bing.com/financeapi/forcetrigger?t=a1sx27&amp;q=XNAS%3aFISV&amp;form=skydnc</v>
    <v>Learn more on Bing</v>
  </rv>
  <rv s="3">
    <v>en-US</v>
    <v>a1sx27</v>
    <v>268435456</v>
    <v>1</v>
    <v>0</v>
    <v>Powered by Refinitiv</v>
    <v>0</v>
    <v>FISERV, INC. (XNAS:FISV)</v>
    <v>3</v>
    <v>4</v>
    <v>Finance</v>
    <v>5</v>
    <v>127.34</v>
    <v>92.15</v>
    <v>0.89219999999999999</v>
    <v>1.64</v>
    <v>1.4357999999999999E-2</v>
    <v>USD</v>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 operates through three segments: Merchant Acceptance (Acceptance), Financial Technology (Fintech) and Payments and Network (Payments). Its Acceptance segment offers a wide range of products and services to merchants around the world. Its Fintech segment is engaged in providing financial institutions with the technology solutions they need to run their operations. Its Payments segment offers products and services required to process digital payment transactions. The Company serves clients around the globe, including banks, credit unions, corporates, associates, government, healthcare, other financial institutions and merchants.</v>
    <v>44000</v>
    <v>Nasdaq Stock Market</v>
    <v>XNAS</v>
    <v>XNAS</v>
    <v>255 FISERV DR, PO BOX 979, BROOKFIELD, WI, 53045-5815 US</v>
    <v>116</v>
    <v>229</v>
    <v>Professional &amp; Commercial Services</v>
    <v>Stock</v>
    <v>44340.970301087502</v>
    <v>230</v>
    <v>114.36</v>
    <v>77251902684</v>
    <v>FISERV, INC.</v>
    <v>FISERV, INC.</v>
    <v>115.56</v>
    <v>90.625399999999999</v>
    <v>114.22</v>
    <v>115.86</v>
    <v>666769400</v>
    <v>FISV</v>
    <v>FISERV, INC. (XNAS:FISV)</v>
    <v>1208</v>
    <v>5228614</v>
    <v>1992</v>
  </rv>
  <rv s="4">
    <v>231</v>
  </rv>
  <rv s="0">
    <v>http://en.wikipedia.org/wiki/21st_Century_Fox</v>
    <v>Wikipedia</v>
  </rv>
  <rv s="1">
    <v>0</v>
    <v>233</v>
  </rv>
  <rv s="2">
    <v>6</v>
    <v>https://www.bing.com/th?id=AMMS_ab4ddd3eb7ec7d1e563e6e0c4aba379a&amp;qlt=95</v>
    <v>234</v>
    <v>0</v>
    <v>https://www.bing.com/images/search?form=xlimg&amp;q=21st+century+fox</v>
    <v>Image of FOX CORPORATION</v>
  </rv>
  <rv s="0">
    <v>https://www.bing.com/financeapi/forcetrigger?t=bp8fww&amp;q=XNAS%3aFOXA&amp;form=skydnc</v>
    <v>Learn more on Bing</v>
  </rv>
  <rv s="9">
    <v>en-US</v>
    <v>bp8fww</v>
    <v>268435456</v>
    <v>1</v>
    <v>0</v>
    <v>Powered by Refinitiv</v>
    <v>15</v>
    <v>FOX CORPORATION (XNAS:FOXA)</v>
    <v>3</v>
    <v>16</v>
    <v>Finance</v>
    <v>5</v>
    <v>44.8</v>
    <v>23.93</v>
    <v>-0.14000000000000001</v>
    <v>-3.725E-3</v>
    <v>USD</v>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v>9000</v>
    <v>Nasdaq Stock Market</v>
    <v>XNAS</v>
    <v>XNAS</v>
    <v>1211 Avenue of the Americas, NEW YORK, NY, 10036-8701 US</v>
    <v>37.900100000000002</v>
    <v>235</v>
    <v>Media &amp; Publishing</v>
    <v>Stock</v>
    <v>44340.952365416408</v>
    <v>236</v>
    <v>37.33</v>
    <v>21500280000</v>
    <v>FOX CORPORATION</v>
    <v>FOX CORPORATION</v>
    <v>37.53</v>
    <v>11.1434</v>
    <v>37.58</v>
    <v>37.44</v>
    <v>580207600</v>
    <v>FOXA</v>
    <v>FOX CORPORATION (XNAS:FOXA)</v>
    <v>13</v>
    <v>3262977</v>
    <v>2018</v>
  </rv>
  <rv s="4">
    <v>237</v>
  </rv>
  <rv s="0">
    <v>https://www.bing.com/financeapi/forcetrigger?t=bp8fzr&amp;q=XNAS%3aFOX&amp;form=skydnc</v>
    <v>Learn more on Bing</v>
  </rv>
  <rv s="9">
    <v>en-US</v>
    <v>bp8fzr</v>
    <v>268435456</v>
    <v>1</v>
    <v>0</v>
    <v>Powered by Refinitiv</v>
    <v>15</v>
    <v>FOX CORPORATION (XNAS:FOX)</v>
    <v>3</v>
    <v>16</v>
    <v>Finance</v>
    <v>12</v>
    <v>42.14</v>
    <v>24.03</v>
    <v>-7.0000000000000007E-2</v>
    <v>-1.9239999999999999E-3</v>
    <v>USD</v>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v>9000</v>
    <v>Nasdaq Stock Market</v>
    <v>XNAS</v>
    <v>XNAS</v>
    <v>1211 Avenue of the Americas, NEW YORK, NY, 10036-8701 US</v>
    <v>36.78</v>
    <v>235</v>
    <v>Media &amp; Publishing</v>
    <v>Stock</v>
    <v>44340.890230370314</v>
    <v>239</v>
    <v>36.01</v>
    <v>21500280000</v>
    <v>FOX CORPORATION</v>
    <v>FOX CORPORATION</v>
    <v>36.380000000000003</v>
    <v>14.3454</v>
    <v>36.380000000000003</v>
    <v>36.31</v>
    <v>580207600</v>
    <v>FOX</v>
    <v>FOX CORPORATION (XNAS:FOX)</v>
    <v>3</v>
    <v>1020251</v>
    <v>2018</v>
  </rv>
  <rv s="4">
    <v>240</v>
  </rv>
  <rv s="0">
    <v>https://www.bing.com/financeapi/forcetrigger?t=a1tvoc&amp;q=XNAS%3aGILD&amp;form=skydnc</v>
    <v>Learn more on Bing</v>
  </rv>
  <rv s="5">
    <v>en-US</v>
    <v>a1tvoc</v>
    <v>268435456</v>
    <v>1</v>
    <v>0</v>
    <v>Powered by Refinitiv</v>
    <v>7</v>
    <v>GILEAD SCIENCES, INC. (XNAS:GILD)</v>
    <v>8</v>
    <v>9</v>
    <v>Finance</v>
    <v>5</v>
    <v>79.31</v>
    <v>56.56</v>
    <v>0.39350000000000002</v>
    <v>-1.32</v>
    <v>-1.9199999999999998E-2</v>
    <v>USD</v>
    <v>Gilead Sciences, Inc. is a research-based biopharmaceutical company that discovers, develops and commercializes medicines in areas of unmet medical need. The Company's portfolio of products and pipeline of investigational drugs includes treatments for Human Immunodeficiency Virus/Acquired Immune Deficiency Syndrome (HIV/AIDS), liver diseases, cancer, inflammatory and respiratory diseases and cardiovascular conditions. Its products for HIV/AIDS patients include Descovy, Odefsey, Genvoya, Stribild, Complera/Eviplera, Truvada, Emtriva, Tybost and Vitekta. Its products for patients with liver diseases include Vemlidy, Epclusa, Harvoni, Sovaldi, Viread and Hepsera. It offers Zydelig to patients with hematology/oncology diseases. Its products for patients with various cardiovascular diseases include Letairis, Ranexa and Lexiscan. Its products for various inflammation/respiratory diseases include Cayston and Tamiflu. It had operations in more than 30 countries, as of December 31, 2016.</v>
    <v>13600</v>
    <v>Nasdaq Stock Market</v>
    <v>XNAS</v>
    <v>XNAS</v>
    <v>333 LAKESIDE DR, FOSTER CITY, CA, 94404-1147 US</v>
    <v>69.239999999999995</v>
    <v>Biotechnology &amp; Medical Research</v>
    <v>Stock</v>
    <v>44340.997755867967</v>
    <v>242</v>
    <v>67.38</v>
    <v>84569222540</v>
    <v>GILEAD SCIENCES, INC.</v>
    <v>GILEAD SCIENCES, INC.</v>
    <v>69.099999999999994</v>
    <v>327.7278</v>
    <v>68.75</v>
    <v>67.430000000000007</v>
    <v>1254178000</v>
    <v>GILD</v>
    <v>GILEAD SCIENCES, INC. (XNAS:GILD)</v>
    <v>13422</v>
    <v>7293961</v>
    <v>1987</v>
  </rv>
  <rv s="4">
    <v>243</v>
  </rv>
  <rv s="0">
    <v>https://www.bing.com/financeapi/forcetrigger?t=a1vb5r&amp;q=XNAS%3aIDXX&amp;form=skydnc</v>
    <v>Learn more on Bing</v>
  </rv>
  <rv s="5">
    <v>en-US</v>
    <v>a1vb5r</v>
    <v>268435456</v>
    <v>1</v>
    <v>0</v>
    <v>Powered by Refinitiv</v>
    <v>7</v>
    <v>IDEXX LABORATORIES, INC. (XNAS:IDXX)</v>
    <v>8</v>
    <v>9</v>
    <v>Finance</v>
    <v>5</v>
    <v>573.99</v>
    <v>290.18</v>
    <v>0.88759999999999994</v>
    <v>10.37</v>
    <v>1.9227000000000001E-2</v>
    <v>USD</v>
    <v>IDEXX Laboratories, Inc. develops, manufactures and distributes products and provides services for the companion animal veterinary, livestock and poultry, dairy and water testing markets. The Company also sells a line of portable electrolytes and blood gas analyzers for the human point-of-care medical diagnostics market. Its segments include diagnostic and information technology-based products and services for the veterinary market, which the Company refers to as the Companion Animal Group; water quality products; diagnostic products and services for livestock and poultry health, which the Company refers to as Livestock, Poultry and Dairy, and Other operating segment, which combines and presents products for the human point-of-care medical diagnostics market with its pharmaceutical product line and its out-licensing arrangements. Its products and services include point-of-care veterinary diagnostic products, comprising instruments, consumables and rapid assay test kits, among others.</v>
    <v>9300</v>
    <v>Nasdaq Stock Market</v>
    <v>XNAS</v>
    <v>XNAS</v>
    <v>1 Idexx Dr, WESTBROOK, ME, 04092-2041 US</v>
    <v>551.26</v>
    <v>Healthcare Equipment &amp; Supplies</v>
    <v>Stock</v>
    <v>44340.936236457812</v>
    <v>245</v>
    <v>544.255</v>
    <v>46879626111</v>
    <v>IDEXX LABORATORIES, INC.</v>
    <v>IDEXX LABORATORIES, INC.</v>
    <v>545</v>
    <v>69.413300000000007</v>
    <v>539.34</v>
    <v>549.71</v>
    <v>85280650</v>
    <v>IDXX</v>
    <v>IDEXX LABORATORIES, INC. (XNAS:IDXX)</v>
    <v>33</v>
    <v>340097</v>
    <v>1983</v>
  </rv>
  <rv s="4">
    <v>246</v>
  </rv>
  <rv s="0">
    <v>http://en.wikipedia.org/wiki/Illumina,_Inc.</v>
    <v>Wikipedia</v>
  </rv>
  <rv s="1">
    <v>0</v>
    <v>248</v>
  </rv>
  <rv s="2">
    <v>6</v>
    <v>https://www.bing.com/th?id=AMMS_7a741abc71fb6dfef3b278cf09574e03&amp;qlt=95</v>
    <v>249</v>
    <v>0</v>
    <v>https://www.bing.com/images/search?form=xlimg&amp;q=illumina</v>
    <v>Image of ILLUMINA, INC.</v>
  </rv>
  <rv s="0">
    <v>https://www.bing.com/financeapi/forcetrigger?t=a1vh4c&amp;q=XNAS%3aILMN&amp;form=skydnc</v>
    <v>Learn more on Bing</v>
  </rv>
  <rv s="3">
    <v>en-US</v>
    <v>a1vh4c</v>
    <v>268435456</v>
    <v>1</v>
    <v>0</v>
    <v>Powered by Refinitiv</v>
    <v>0</v>
    <v>ILLUMINA, INC. (XNAS:ILMN)</v>
    <v>3</v>
    <v>4</v>
    <v>Finance</v>
    <v>5</v>
    <v>555.77</v>
    <v>260.42</v>
    <v>0.94010000000000005</v>
    <v>1.37</v>
    <v>3.437E-3</v>
    <v>USD</v>
    <v>Illumina, Inc. (Illumina) is a provider of sequencing- and array-based solutions for genetic analysis. The Company operates through two segments: Core Illumina and the consolidated variable interest entities (VIEs), which include the activities of GRAIL, Inc. (GRAIL) and Helix Holdings I, LLC (Helix). Core Illumina consists of its core operations. Core Illumina's products and services serve customers in the research, clinical and applied markets, and enable the adoption of a range of genomic solutions. The Company's portfolio of integrated systems, consumables and analysis tools addresses the range of genomic complexity, price points, and throughput, enabling customers to select the solution for their research or clinical challenge. The Company provides reproductive-health solutions, including noninvasive prenatal testing (NIPT), preimplantation genetic screening and diagnosis, and neonatal and genetic health testing.</v>
    <v>7800</v>
    <v>Nasdaq Stock Market</v>
    <v>XNAS</v>
    <v>XNAS</v>
    <v>5200 Illumina Way, SAN DIEGO, CA, 92122-4616 US</v>
    <v>406.88920000000002</v>
    <v>250</v>
    <v>Healthcare Equipment &amp; Supplies</v>
    <v>Stock</v>
    <v>44340.96126061328</v>
    <v>251</v>
    <v>399.79</v>
    <v>58398540000</v>
    <v>ILLUMINA, INC.</v>
    <v>ILLUMINA, INC.</v>
    <v>403.04</v>
    <v>93.816800000000001</v>
    <v>398.62</v>
    <v>399.99</v>
    <v>146000000</v>
    <v>ILMN</v>
    <v>ILLUMINA, INC. (XNAS:ILMN)</v>
    <v>247</v>
    <v>785934</v>
    <v>2000</v>
  </rv>
  <rv s="4">
    <v>252</v>
  </rv>
  <rv s="0">
    <v>https://www.bing.com/financeapi/forcetrigger?t=a1vjbh&amp;q=XNAS%3aINCY&amp;form=skydnc</v>
    <v>Learn more on Bing</v>
  </rv>
  <rv s="5">
    <v>en-US</v>
    <v>a1vjbh</v>
    <v>268435456</v>
    <v>1</v>
    <v>0</v>
    <v>Powered by Refinitiv</v>
    <v>7</v>
    <v>INCYTE CORPORATION (XNAS:INCY)</v>
    <v>8</v>
    <v>9</v>
    <v>Finance</v>
    <v>12</v>
    <v>110.36499999999999</v>
    <v>75.52</v>
    <v>0.80400000000000005</v>
    <v>0.15</v>
    <v>1.812E-3</v>
    <v>USD</v>
    <v>Incyte Corporation is a biopharmaceutical company focused on the discovery, development and commercialization of therapeutics. Its portfolio includes compounds in various stages, ranging from preclinical to late-stage development, and commercialized products, such as JAKAFI (ruxolitinib) and ICLUSIG (ponatinib). JAKAFI (ruxolitinib) is indicated for the treatment of patients with intermediate or high risk myelofibrosis (MF) and for the treatment of patients with polycythemia vera (PV) having had an inadequate response to or are intolerant of hydroxyurea. As of December 31, 2016, the Food and Drug Administration had granted JAKAFI orphan drug status for MF, PV and essential thrombocythemia. The primary target for ICLUSIG is B Cell Receptor-ABL, an abnormal tyrosine kinase that is expressed in chronic myeloid leukemia and Philadelphia-chromosome positive acute lymphoblastic leukemia. The Company also has a portfolio of selective janus associated kinases 1 (JAK1) inhibitors.</v>
    <v>1773</v>
    <v>Nasdaq Stock Market</v>
    <v>XNAS</v>
    <v>XNAS</v>
    <v>1801 Augustine Cut off, WILMINGTON, DE, 19803-4404 US</v>
    <v>83.99</v>
    <v>Biotechnology &amp; Medical Research</v>
    <v>Stock</v>
    <v>44340.880040948439</v>
    <v>254</v>
    <v>82.79</v>
    <v>18233857385</v>
    <v>INCYTE CORPORATION</v>
    <v>INCYTE CORPORATION</v>
    <v>83.7</v>
    <v>38.167999999999999</v>
    <v>82.76</v>
    <v>82.91</v>
    <v>219923500</v>
    <v>INCY</v>
    <v>INCYTE CORPORATION (XNAS:INCY)</v>
    <v>2</v>
    <v>1161349</v>
    <v>1991</v>
  </rv>
  <rv s="4">
    <v>255</v>
  </rv>
  <rv s="0">
    <v>https://www.bing.com/financeapi/forcetrigger?t=a1vmf2&amp;q=XNAS%3aINTC&amp;form=skydnc</v>
    <v>Learn more on Bing</v>
  </rv>
  <rv s="5">
    <v>en-US</v>
    <v>a1vmf2</v>
    <v>268435456</v>
    <v>1</v>
    <v>0</v>
    <v>Powered by Refinitiv</v>
    <v>7</v>
    <v>INTEL CORPORATION (XNAS:INTC)</v>
    <v>8</v>
    <v>9</v>
    <v>Finance</v>
    <v>5</v>
    <v>68.489999999999995</v>
    <v>43.61</v>
    <v>0.60340000000000005</v>
    <v>0.88</v>
    <v>1.5691999999999998E-2</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110600</v>
    <v>Nasdaq Stock Market</v>
    <v>XNAS</v>
    <v>XNAS</v>
    <v>2200 Mission College Blvd, SANTA CLARA, CA, 95054-1537 US</v>
    <v>57.39</v>
    <v>Semiconductors &amp; Semiconductor Equipment</v>
    <v>Stock</v>
    <v>44340.999903078125</v>
    <v>257</v>
    <v>56.4</v>
    <v>230004480000</v>
    <v>INTEL CORPORATION</v>
    <v>INTEL CORPORATION</v>
    <v>56.648000000000003</v>
    <v>12.605399999999999</v>
    <v>56.08</v>
    <v>56.96</v>
    <v>4038000000</v>
    <v>INTC</v>
    <v>INTEL CORPORATION (XNAS:INTC)</v>
    <v>124623</v>
    <v>29291179</v>
    <v>1989</v>
  </rv>
  <rv s="4">
    <v>258</v>
  </rv>
  <rv s="0">
    <v>http://en.wikipedia.org/wiki/Intuit</v>
    <v>Wikipedia</v>
  </rv>
  <rv s="1">
    <v>0</v>
    <v>260</v>
  </rv>
  <rv s="2">
    <v>6</v>
    <v>https://www.bing.com/th?id=AMMS_0d847f6884410e769578a8c9c539748d&amp;qlt=95</v>
    <v>261</v>
    <v>0</v>
    <v>https://www.bing.com/images/search?form=xlimg&amp;q=intuit</v>
    <v>Image of INTUIT INC.</v>
  </rv>
  <rv s="0">
    <v>https://www.bing.com/financeapi/forcetrigger?t=a1vmtc&amp;q=XNAS%3aINTU&amp;form=skydnc</v>
    <v>Learn more on Bing</v>
  </rv>
  <rv s="3">
    <v>en-US</v>
    <v>a1vmtc</v>
    <v>268435456</v>
    <v>1</v>
    <v>0</v>
    <v>Powered by Refinitiv</v>
    <v>0</v>
    <v>INTUIT INC. (XNAS:INTU)</v>
    <v>3</v>
    <v>4</v>
    <v>Finance</v>
    <v>5</v>
    <v>442.71</v>
    <v>271.54000000000002</v>
    <v>0.99250000000000005</v>
    <v>6.98</v>
    <v>1.6104E-2</v>
    <v>USD</v>
    <v>Intuit Inc. is a provider of business and financial management solutions for small businesses, consumers and accounting professionals. The Company operates through three segments: Small Business, Consumer Tax and ProConnect. The Small Business segment serves and advises small businesses and the accounting professionals, and includes QuickBooks financial and business management online services and desktop software, payroll solutions, and payment processing solutions. The Small Business segment also includes third-party applications that integrate with the Company's offerings. The Consumer Tax segment targets consumers and includes TurboTax products and services, which enable individuals to prepare and file their own federal and state personal income tax returns. The ProConnect segment targets professional accountants in the United States and Canada. Its ProConnect professional tax offerings include Lacerte, ProSeries, ProFile and ProConnect Tax Online.</v>
    <v>10600</v>
    <v>Nasdaq Stock Market</v>
    <v>XNAS</v>
    <v>XNAS</v>
    <v>2700 Coast Ave, MOUNTAIN VIEW, CA, 94043-1140 US</v>
    <v>442.71</v>
    <v>262</v>
    <v>Software &amp; IT Services</v>
    <v>Stock</v>
    <v>44340.999532985938</v>
    <v>263</v>
    <v>438.07</v>
    <v>120601830359</v>
    <v>INTUIT INC.</v>
    <v>INTUIT INC.</v>
    <v>439.2</v>
    <v>66.606700000000004</v>
    <v>433.43</v>
    <v>440.41</v>
    <v>273839900</v>
    <v>INTU</v>
    <v>INTUIT INC. (XNAS:INTU)</v>
    <v>12458</v>
    <v>1065128</v>
    <v>1993</v>
  </rv>
  <rv s="4">
    <v>264</v>
  </rv>
  <rv s="0">
    <v>http://it.wikipedia.org/wiki/Intuitive_Surgical</v>
    <v>Wikipedia</v>
  </rv>
  <rv s="1">
    <v>0</v>
    <v>266</v>
  </rv>
  <rv s="2">
    <v>6</v>
    <v>https://www.bing.com/th?id=AMMS_7e7b82201935872f07f11f4079c0aae2&amp;qlt=95</v>
    <v>267</v>
    <v>0</v>
    <v>https://www.bing.com/images/search?form=xlimg&amp;q=intuitive+surgical</v>
    <v>Image of INTUITIVE SURGICAL, INC.</v>
  </rv>
  <rv s="0">
    <v>https://www.bing.com/financeapi/forcetrigger?t=a1vt77&amp;q=XNAS%3aISRG&amp;form=skydnc</v>
    <v>Learn more on Bing</v>
  </rv>
  <rv s="3">
    <v>en-US</v>
    <v>a1vt77</v>
    <v>268435456</v>
    <v>1</v>
    <v>0</v>
    <v>Powered by Refinitiv</v>
    <v>0</v>
    <v>INTUITIVE SURGICAL, INC. (XNAS:ISRG)</v>
    <v>3</v>
    <v>4</v>
    <v>Finance</v>
    <v>5</v>
    <v>893.79</v>
    <v>543.03</v>
    <v>1.0427999999999999</v>
    <v>9.93</v>
    <v>1.2036999999999999E-2</v>
    <v>USD</v>
    <v>Intuitive Surgical, Inc. develops, manufactures and markets the da Vinci surgical system and Ion endoluminal system. The Company's da Vinci products are offered in categories, including da Vinci Surgical Systems, da Vinci instruments and accessories, da Vinci Stapling, da Vinci Energy, and da Vinci Vision, including Firefly Fluorescence imaging systems (Firefly) and da Vinci Endoscopes. It also provides a comprehensive suite of services, training, and education programs. It manufactures a set of instruments, which incorporates EndoWrist technology with wristed joints for natural dexterity and tips customized for various surgical procedures. Its Ion endoluminal system is a robotic-assisted, catheter-based platform designed to navigate through very small lung airways to reach peripheral nodules for biopsies. The da Vinci Surgical System enables surgeons to operate while seated at an ergonomic console viewing a three-dimensional, high definition (3DHD) image of the surgical field.</v>
    <v>8081</v>
    <v>Nasdaq Stock Market</v>
    <v>XNAS</v>
    <v>XNAS</v>
    <v>1020 Kifer Rd, SUNNYVALE, CA, 94086-5301 US</v>
    <v>840.36</v>
    <v>268</v>
    <v>Healthcare Equipment &amp; Supplies</v>
    <v>Stock</v>
    <v>44340.933377777343</v>
    <v>269</v>
    <v>832.26</v>
    <v>98865298468</v>
    <v>INTUITIVE SURGICAL, INC.</v>
    <v>INTUITIVE SURGICAL, INC.</v>
    <v>833.05</v>
    <v>86.087199999999996</v>
    <v>824.99</v>
    <v>834.92</v>
    <v>118412900</v>
    <v>ISRG</v>
    <v>INTUITIVE SURGICAL, INC. (XNAS:ISRG)</v>
    <v>96</v>
    <v>645271</v>
    <v>1995</v>
  </rv>
  <rv s="4">
    <v>270</v>
  </rv>
  <rv s="0">
    <v>https://www.bing.com/financeapi/forcetrigger?t=a1w2u2&amp;q=XNAS%3aJD&amp;form=skydnc</v>
    <v>Learn more on Bing</v>
  </rv>
  <rv s="10">
    <v>en-US</v>
    <v>a1w2u2</v>
    <v>268435456</v>
    <v>1</v>
    <v>0</v>
    <v>Powered by Refinitiv</v>
    <v>17</v>
    <v>JD.COM, INC. (XNAS:JD)</v>
    <v>8</v>
    <v>18</v>
    <v>Finance</v>
    <v>5</v>
    <v>108.29</v>
    <v>49.92</v>
    <v>-1.0900000000000001</v>
    <v>-1.4983E-2</v>
    <v>USD</v>
    <v>JD.com Inc is a holding company mainly engaged in e-commerce business. The Company operates two segments. JD Retail segment consists of online retail, online marketplace and marketing services in China. The Company offers electronics products, home appliances and other general merchandise categories. The Company has its own online platform, which third-party merchants offer products on it. The Company provides marketing and display advertising services to third-party merchants, suppliers and other business partners on its website channels. New Businesses segment includes logistics services provided to third parties, overseas business, technology initiatives, as well as asset management services to logistics property investors and sale of development properties. It offers comprehensive supply chain solutions to third parties through JD Logistics, including warehousing, transportation, delivery and after-sales service. The Company mainly conducts its businesses in the China market.</v>
    <v>314906</v>
    <v>Nasdaq Stock Market</v>
    <v>XNAS</v>
    <v>XNAS</v>
    <v>20Th Floor, Building A, No. 18 Kechuang, Yizhuang Bda, Daxing District, BEIJING, BEIJING, 101111 CN</v>
    <v>72.75</v>
    <v>Diversified Retail</v>
    <v>Stock</v>
    <v>44340.99965173594</v>
    <v>272</v>
    <v>71.58</v>
    <v>903884400000</v>
    <v>JD.COM, INC.</v>
    <v>JD.COM, INC.</v>
    <v>72.25</v>
    <v>14.387</v>
    <v>72.75</v>
    <v>71.66</v>
    <v>3129794000</v>
    <v>JD</v>
    <v>JD.COM, INC. (XNAS:JD)</v>
    <v>106876</v>
    <v>11779353</v>
  </rv>
  <rv s="4">
    <v>273</v>
  </rv>
  <rv s="0">
    <v>https://www.bing.com/financeapi/forcetrigger?t=a1r9cw&amp;q=XNAS%3aKDP&amp;form=skydnc</v>
    <v>Learn more on Bing</v>
  </rv>
  <rv s="5">
    <v>en-US</v>
    <v>a1r9cw</v>
    <v>268435456</v>
    <v>1</v>
    <v>0</v>
    <v>Powered by Refinitiv</v>
    <v>7</v>
    <v>KEURIG DR PEPPER INC. (XNAS:KDP)</v>
    <v>8</v>
    <v>9</v>
    <v>Finance</v>
    <v>5</v>
    <v>36.979999999999997</v>
    <v>26.664999999999999</v>
    <v>0.73129999999999995</v>
    <v>0.62</v>
    <v>1.7108000000000002E-2</v>
    <v>USD</v>
    <v>Keurig Dr Pepper Inc., formerly Dr Pepper Snapple Group, Inc., is an integrated brand owner, manufacturer and distributor of non-alcoholic beverages in the United States, Mexico and Canada. The Company offers a diverse portfolio of flavored (non-cola) carbonated soft drinks (CSDs) and non-carbonated beverages (NCBs), including ready-to-drink teas, juices, juice drinks, water and mixers. The Company's segments include Beverage Concentrates, Packaged Beverages and Latin America Beverages. The Company's brand portfolio includes CSD brands, such as Dr Pepper, Canada Dry, Penafiel, Squirt, 7UP, Crush, A&amp;W, Sunkist soda and Schweppes, and NCB brands, such as Snapple, Hawaiian Punch, Mott's and Clamato. The Company's NCB brands include Snapple, Hawaiian Punch, Mott's, FIJI mineral water, Clamato, Yoo-Hoo, Deja Blue, Bai Brands, ReaLemon, AriZona tea, Vita Coco coconut water, Mr and Mrs T mixers, BodyArmor, Nantucket Nectars, Garden Cocktail, Mistic and Rose's.</v>
    <v>27000</v>
    <v>Nasdaq Stock Market</v>
    <v>XNAS</v>
    <v>XNAS</v>
    <v>53 South Ave, BURLINGTON, MA, 01803-4903 US</v>
    <v>36.979999999999997</v>
    <v>Beverages</v>
    <v>Stock</v>
    <v>44340.94089334453</v>
    <v>275</v>
    <v>36.424999999999997</v>
    <v>52244995400</v>
    <v>KEURIG DR PEPPER INC.</v>
    <v>KEURIG DR PEPPER INC.</v>
    <v>36.51</v>
    <v>34.338500000000003</v>
    <v>36.24</v>
    <v>36.86</v>
    <v>1417390000</v>
    <v>KDP</v>
    <v>KEURIG DR PEPPER INC. (XNAS:KDP)</v>
    <v>4494</v>
    <v>3600917</v>
    <v>2007</v>
  </rv>
  <rv s="4">
    <v>276</v>
  </rv>
  <rv s="0">
    <v>http://en.wikipedia.org/wiki/KLA_Corporation</v>
    <v>Wikipedia</v>
  </rv>
  <rv s="1">
    <v>0</v>
    <v>278</v>
  </rv>
  <rv s="2">
    <v>6</v>
    <v>https://www.bing.com/th?id=AMMS_e9546d6320b8eb24c9c7684ff75d32e1&amp;qlt=95</v>
    <v>279</v>
    <v>0</v>
    <v>https://www.bing.com/images/search?form=xlimg&amp;q=kla-tencor</v>
    <v>Image of KLA Corporation</v>
  </rv>
  <rv s="0">
    <v>https://www.bing.com/financeapi/forcetrigger?t=a1wjkr&amp;q=XNAS%3aKLAC&amp;form=skydnc</v>
    <v>Learn more on Bing</v>
  </rv>
  <rv s="3">
    <v>en-US</v>
    <v>a1wjkr</v>
    <v>268435456</v>
    <v>1</v>
    <v>0</v>
    <v>Powered by Refinitiv</v>
    <v>0</v>
    <v>KLA Corporation (XNAS:KLAC)</v>
    <v>3</v>
    <v>4</v>
    <v>Finance</v>
    <v>5</v>
    <v>359.69</v>
    <v>168.24</v>
    <v>1.2248000000000001</v>
    <v>7.41</v>
    <v>2.3892000000000004E-2</v>
    <v>USD</v>
    <v>KLA Corporation (KLA), formerly KLA-Tencor Corporation, is a supplier of process control and yield management solutions for the semiconductor and related nanoelectronics industries. The Company's products are also used in a number of other high technology industries, including the packaging, light emitting diode (LED), power devices, compound semiconductor, and data storage industries, as well as general materials research. Its products and services are used by bare wafer, integrated circuit (IC), lithography reticle (reticle or mask) and disk manufacturers around the world. Its inspection and metrology products and related offerings are categorized in various groups, including Chip and Wafer Manufacturing, Reticle Manufacturing, Packaging Manufacturing, Compound Semiconductor, Power Device, LED and microelectromechanical systems (MEMS)Manufacturing, General Purpose/Lab Applications, K-T Pro and K-T Services. It provides refurbished KLA tools as service and support for its products.</v>
    <v>10600</v>
    <v>Nasdaq Stock Market</v>
    <v>XNAS</v>
    <v>XNAS</v>
    <v>1 Technology Dr, MILPITAS, CA, 95035-7916 US</v>
    <v>320.12</v>
    <v>280</v>
    <v>Semiconductors &amp; Semiconductor Equipment</v>
    <v>Stock</v>
    <v>44340.988931562497</v>
    <v>281</v>
    <v>313.81</v>
    <v>48674635590</v>
    <v>KLA Corporation</v>
    <v>KLA Corporation</v>
    <v>314.33999999999997</v>
    <v>26.646699999999999</v>
    <v>310.14</v>
    <v>317.55</v>
    <v>153281800</v>
    <v>KLAC</v>
    <v>KLA Corporation (XNAS:KLAC)</v>
    <v>2418</v>
    <v>1259866</v>
    <v>1975</v>
  </rv>
  <rv s="4">
    <v>282</v>
  </rv>
  <rv s="0">
    <v>http://en.wikipedia.org/wiki/Kraft_Heinz</v>
    <v>Wikipedia</v>
  </rv>
  <rv s="1">
    <v>0</v>
    <v>284</v>
  </rv>
  <rv s="2">
    <v>6</v>
    <v>https://www.bing.com/th?id=AMMS_5098531199359ee57c091e19b1d459bf&amp;qlt=95</v>
    <v>285</v>
    <v>0</v>
    <v>https://www.bing.com/images/search?form=xlimg&amp;q=kraft+heinz+stock+price+on+cnn+money</v>
    <v>Image of THE KRAFT HEINZ COMPANY</v>
  </rv>
  <rv s="0">
    <v>https://www.bing.com/financeapi/forcetrigger?t=a1wi77&amp;q=XNAS%3aKHC&amp;form=skydnc</v>
    <v>Learn more on Bing</v>
  </rv>
  <rv s="3">
    <v>en-US</v>
    <v>a1wi77</v>
    <v>268435456</v>
    <v>1</v>
    <v>0</v>
    <v>Powered by Refinitiv</v>
    <v>0</v>
    <v>THE KRAFT HEINZ COMPANY (XNAS:KHC)</v>
    <v>3</v>
    <v>4</v>
    <v>Finance</v>
    <v>5</v>
    <v>44.95</v>
    <v>28.562000000000001</v>
    <v>1.1261000000000001</v>
    <v>0.39</v>
    <v>8.8380000000000004E-3</v>
    <v>USD</v>
    <v>Kraft Heinz Company (Kraft Heinz) is a global food and beverage company. The Company’s segments include United States, International and Canada. It manufactures and markets food and beverage products, including condiments and sauces, cheese and dairy, meals, meats, refreshment beverages, coffee, and other grocery products throughout the world. It offers its products under various brands, such as Kraft, Oscar Mayer, Heinz, Philadelphia, Lunchables, Velveeta, Planters, Maxwell House, Kool-Aid, Ore-Ida, Jell-O, Master, Quero, Golden Circle and Wattie's. Its products are sold through its own sales organizations and through independent brokers, agents, and distributors to chain, wholesale, cooperative and independent grocery accounts, convenience stores, drug stores, value stores, bakeries, pharmacies, mass merchants, club stores, foodservice distributors, and institutions, including hotels, restaurants, hospitals, health care facilities and certain government agencies.</v>
    <v>38000</v>
    <v>Nasdaq Stock Market</v>
    <v>XNAS</v>
    <v>XNAS</v>
    <v>1 Ppg Pl, PITTSBURGH, PA, 15222-5415 US</v>
    <v>44.95</v>
    <v>286</v>
    <v>Food &amp; Tobacco</v>
    <v>Stock</v>
    <v>44340.999512510934</v>
    <v>287</v>
    <v>44.25</v>
    <v>54454504440</v>
    <v>THE KRAFT HEINZ COMPANY</v>
    <v>THE KRAFT HEINZ COMPANY</v>
    <v>44.27</v>
    <v>125.0492</v>
    <v>44.13</v>
    <v>44.52</v>
    <v>1223147000</v>
    <v>KHC</v>
    <v>THE KRAFT HEINZ COMPANY (XNAS:KHC)</v>
    <v>6716</v>
    <v>5303971</v>
    <v>2013</v>
  </rv>
  <rv s="4">
    <v>288</v>
  </rv>
  <rv s="0">
    <v>http://ja.wikipedia.org/wiki/ラムリサーチ</v>
    <v>Wikipedia</v>
  </rv>
  <rv s="1">
    <v>0</v>
    <v>290</v>
  </rv>
  <rv s="2">
    <v>6</v>
    <v>https://www.bing.com/th?id=AMMS_9c7eacdc72129ad512e53684f4b195ac&amp;qlt=95</v>
    <v>291</v>
    <v>0</v>
    <v>https://www.bing.com/images/search?form=xlimg&amp;q=lam+research</v>
    <v>Image of LAM RESEARCH CORPORATION</v>
  </rv>
  <rv s="0">
    <v>https://www.bing.com/financeapi/forcetrigger?t=a1x4f2&amp;q=XNAS%3aLRCX&amp;form=skydnc</v>
    <v>Learn more on Bing</v>
  </rv>
  <rv s="3">
    <v>en-US</v>
    <v>a1x4f2</v>
    <v>268435456</v>
    <v>1</v>
    <v>0</v>
    <v>Powered by Refinitiv</v>
    <v>0</v>
    <v>LAM RESEARCH CORPORATION (XNAS:LRCX)</v>
    <v>3</v>
    <v>4</v>
    <v>Finance</v>
    <v>5</v>
    <v>669</v>
    <v>258.20999999999998</v>
    <v>1.2814000000000001</v>
    <v>20.54</v>
    <v>3.3446999999999998E-2</v>
    <v>USD</v>
    <v>Lam Research Corporation is a supplier of wafer fabrication equipment and services to the semiconductor industry. The Company designs, manufactures, markets, refurbishes and services semiconductor processing systems that are used in the fabrication of integrated circuits (ICs). It operates through manufacturing and servicing of wafer processing semiconductor manufacturing equipment segment. Its products are designed to enable its customers build a range of devices that are used in a range of electronic products, including cell phones, tablets, computers, storage devices, and networking equipment. Its customer base includes semiconductor memory, foundry, and integrated device manufacturers (IDMs) that make products, such as dynamic random-access memory (DRAM), negative-AND (NAND) memory and logic devices. It offers a portfolio of products that are used in several areas of the semiconductor manufacturing process flow, including thin film deposition, plasma etch and single-wafer clean.</v>
    <v>11300</v>
    <v>Nasdaq Stock Market</v>
    <v>XNAS</v>
    <v>XNAS</v>
    <v>4650 Cushing Pkwy, FREMONT, CA, 94538-6401 US</v>
    <v>641.53</v>
    <v>292</v>
    <v>Semiconductors &amp; Semiconductor Equipment</v>
    <v>Stock</v>
    <v>44340.999956145315</v>
    <v>293</v>
    <v>622.02</v>
    <v>87582540000</v>
    <v>LAM RESEARCH CORPORATION</v>
    <v>LAM RESEARCH CORPORATION</v>
    <v>625.35</v>
    <v>26.797899999999998</v>
    <v>614.1</v>
    <v>634.64</v>
    <v>142619400</v>
    <v>LRCX</v>
    <v>LAM RESEARCH CORPORATION (XNAS:LRCX)</v>
    <v>4835</v>
    <v>1541170</v>
    <v>1989</v>
  </rv>
  <rv s="4">
    <v>294</v>
  </rv>
  <rv s="0">
    <v>http://creativecommons.org/publicdomain/zero/1.0/deed.en</v>
    <v>CC0</v>
  </rv>
  <rv s="0">
    <v>http://de.wikipedia.org/wiki/Lululemon_Athletica</v>
    <v>Wikipedia</v>
  </rv>
  <rv s="1">
    <v>296</v>
    <v>297</v>
  </rv>
  <rv s="2">
    <v>6</v>
    <v>https://www.bing.com/th?id=AMMS_b200b509eff40a6e9f380cf29e4e0ab9&amp;qlt=95</v>
    <v>298</v>
    <v>0</v>
    <v>https://www.bing.com/images/search?form=xlimg&amp;q=lululemon+athletica</v>
    <v>Image of LULULEMON ATHLETICA INC.</v>
  </rv>
  <rv s="0">
    <v>https://www.bing.com/financeapi/forcetrigger?t=a1x6m7&amp;q=XNAS%3aLULU&amp;form=skydnc</v>
    <v>Learn more on Bing</v>
  </rv>
  <rv s="3">
    <v>en-US</v>
    <v>a1x6m7</v>
    <v>268435456</v>
    <v>1</v>
    <v>0</v>
    <v>Powered by Refinitiv</v>
    <v>0</v>
    <v>LULULEMON ATHLETICA INC. (XNAS:LULU)</v>
    <v>3</v>
    <v>4</v>
    <v>Finance</v>
    <v>12</v>
    <v>399.8965</v>
    <v>269.2801</v>
    <v>1.3431999999999999</v>
    <v>4.99</v>
    <v>1.5931999999999998E-2</v>
    <v>USD</v>
    <v>lululemon athletica inc. is a designer, distributor and retailer of lifestyle inspired athletic apparel and accessories. The Company’s segments include Company-operated stores and direct to consumer. Its apparel assortment includes items such as pants, shorts, tops, and jackets designed for a healthy lifestyle including athletic activities such as yoga, running, training, and other sweaty pursuits. It also offers fitness-related accessories. Its direct to consumer segment includes electronic commerce Website www.lululemon.com, other country and region-specific websites, and mobile applications, including mobile applications on in-store devices. Its Company-operated stores include approximately 491 stores. Its Company-operated stores are branded lululemon and ivivva. The ivivva branded stores specializes in athletic wear for female youth. It also offers weekly live classes, on-demand workouts and one-on-one personal training through its subsidiary.</v>
    <v>19000</v>
    <v>Nasdaq Stock Market</v>
    <v>XNAS</v>
    <v>XNAS</v>
    <v>1818 Cornwall Ave, VANCOUVER, BC, V6J 1C7 CA</v>
    <v>320.39999999999998</v>
    <v>299</v>
    <v>Textiles &amp; Apparel</v>
    <v>Stock</v>
    <v>44340.999176157035</v>
    <v>300</v>
    <v>313.495</v>
    <v>41469893614</v>
    <v>LULULEMON ATHLETICA INC.</v>
    <v>LULULEMON ATHLETICA INC.</v>
    <v>315.24</v>
    <v>70.718000000000004</v>
    <v>313.2</v>
    <v>318.19</v>
    <v>130330600</v>
    <v>LULU</v>
    <v>LULULEMON ATHLETICA INC. (XNAS:LULU)</v>
    <v>1977</v>
    <v>956898</v>
    <v>2005</v>
  </rv>
  <rv s="4">
    <v>301</v>
  </rv>
  <rv s="0">
    <v>http://pl.wikipedia.org/wiki/Marriott_International</v>
    <v>Wikipedia</v>
  </rv>
  <rv s="1">
    <v>0</v>
    <v>303</v>
  </rv>
  <rv s="2">
    <v>6</v>
    <v>https://www.bing.com/th?id=AMMS_e3ba7e9a3f40d20af29f83cc22b9d26b&amp;qlt=95</v>
    <v>304</v>
    <v>0</v>
    <v>https://www.bing.com/images/search?form=xlimg&amp;q=marriott+international</v>
    <v>Image of MARRIOTT INTERNATIONAL, INC.</v>
  </rv>
  <rv s="0">
    <v>https://www.bing.com/financeapi/forcetrigger?t=a1xaar&amp;q=XNAS%3aMAR&amp;form=skydnc</v>
    <v>Learn more on Bing</v>
  </rv>
  <rv s="3">
    <v>en-US</v>
    <v>a1xaar</v>
    <v>268435456</v>
    <v>1</v>
    <v>0</v>
    <v>Powered by Refinitiv</v>
    <v>0</v>
    <v>MARRIOTT INTERNATIONAL, INC. (XNAS:MAR)</v>
    <v>3</v>
    <v>4</v>
    <v>Finance</v>
    <v>5</v>
    <v>159.97999999999999</v>
    <v>80.260000000000005</v>
    <v>1.889</v>
    <v>2.88</v>
    <v>2.0718E-2</v>
    <v>USD</v>
    <v>Marriott International, Inc. (Marriott International) is a lodging company. Marriott International operates in three business segments: North American Full-Service, North American Limited-Service and International. Its North American Full-Service segment includes its Luxury and Premium brands (JW Marriott, Marriott Hotels, Westin, Renaissance Hotels, Le Meridien, Autograph Collection Hotels, Delta Hotels, Gaylord Hotels, and Tribute Portfolio) located in the United States and Canada. Its North American Limited-Service segment includes Select brands (Courtyard, Residence Inn, Fairfield Inn &amp; Suites, SpringHill Suites, Element Hotels and Moxy Hotels) located in the United States and Canada. Its International segment includes JW Marriott, St. Regis, EDITION, Bulgari Hotels &amp; Resorts, Marriott Hotels, Westin, Four Points, Aloft Hotels, AC Hotels by Marriott, Protea Hotels, Element Hotels, and Moxy Hotels located outside the United States and Canada.</v>
    <v>121000</v>
    <v>Nasdaq Stock Market</v>
    <v>XNAS</v>
    <v>XNAS</v>
    <v>10400 Fernwood Rd, BETHESDA, MD, 20817-1102 US</v>
    <v>142.21</v>
    <v>305</v>
    <v>Hotels &amp; Entertainment Services</v>
    <v>Stock</v>
    <v>44340.990593911716</v>
    <v>306</v>
    <v>139.11000000000001</v>
    <v>46204846764</v>
    <v>MARRIOTT INTERNATIONAL, INC.</v>
    <v>MARRIOTT INTERNATIONAL, INC.</v>
    <v>140.08000000000001</v>
    <v>250.69810000000001</v>
    <v>139.01</v>
    <v>141.88999999999999</v>
    <v>325638500</v>
    <v>MAR</v>
    <v>MARRIOTT INTERNATIONAL, INC. (XNAS:MAR)</v>
    <v>2951</v>
    <v>2041426</v>
    <v>1997</v>
  </rv>
  <rv s="4">
    <v>307</v>
  </rv>
  <rv s="0">
    <v>http://en.wikipedia.org/wiki/Marvell_Technology_Group</v>
    <v>Wikipedia</v>
  </rv>
  <rv s="1">
    <v>0</v>
    <v>309</v>
  </rv>
  <rv s="2">
    <v>6</v>
    <v>https://www.bing.com/th?id=AMMS_b35fcc9c3313e4aa045eb5e5889a2cb2&amp;qlt=95</v>
    <v>310</v>
    <v>0</v>
    <v>https://www.bing.com/images/search?form=xlimg&amp;q=marvell+technology+group</v>
    <v>Image of MARVELL TECHNOLOGY, INC</v>
  </rv>
  <rv s="0">
    <v>https://www.bing.com/financeapi/forcetrigger?t=a1xygh&amp;q=XNAS%3aMRVL&amp;form=skydnc</v>
    <v>Learn more on Bing</v>
  </rv>
  <rv s="3">
    <v>en-US</v>
    <v>a1xygh</v>
    <v>268435456</v>
    <v>1</v>
    <v>0</v>
    <v>Powered by Refinitiv</v>
    <v>0</v>
    <v>MARVELL TECHNOLOGY, INC (XNAS:MRVL)</v>
    <v>3</v>
    <v>4</v>
    <v>Finance</v>
    <v>5</v>
    <v>55.7</v>
    <v>29.25</v>
    <v>1.0976999999999999</v>
    <v>1.4</v>
    <v>3.0289999999999997E-2</v>
    <v>USD</v>
    <v>Marvell Technology, Inc. is a data infrastructure semiconductor solutions provider. The Company is principally engaged in delivering the data infrastructure technology that connects the world. The Company moves, stores, processes and secures data with semiconductor solutions designed for its customer needs. The Company's subsidiary, Inphi Corporation, is engaged in providing analog and mixed signal semiconductor solutions for the communications and cloud markets.</v>
    <v>5340</v>
    <v>Nasdaq Stock Market</v>
    <v>XNAS</v>
    <v>XNAS</v>
    <v>1000 N. West Street, Suite 1200, WILMINGTON, DE, 19801 US</v>
    <v>47.86</v>
    <v>311</v>
    <v>Semiconductors &amp; Semiconductor Equipment</v>
    <v>Stock</v>
    <v>44340.997629895312</v>
    <v>312</v>
    <v>46.51</v>
    <v>38467178852</v>
    <v>MARVELL TECHNOLOGY, INC</v>
    <v>MARVELL TECHNOLOGY, INC</v>
    <v>46.67</v>
    <v>22.982299999999999</v>
    <v>46.22</v>
    <v>47.62</v>
    <v>807794600</v>
    <v>MRVL</v>
    <v>MARVELL TECHNOLOGY, INC (XNAS:MRVL)</v>
    <v>11988</v>
    <v>9535197</v>
    <v>2020</v>
  </rv>
  <rv s="4">
    <v>313</v>
  </rv>
  <rv s="0">
    <v>http://en.wikipedia.org/wiki/Match_Group</v>
    <v>Wikipedia</v>
  </rv>
  <rv s="1">
    <v>0</v>
    <v>315</v>
  </rv>
  <rv s="2">
    <v>6</v>
    <v>https://www.bing.com/th?id=AMMS_cfadcf8aa96449afb2de013a2b93e803&amp;qlt=95</v>
    <v>316</v>
    <v>0</v>
    <v>https://www.bing.com/images/search?form=xlimg&amp;q=match+group</v>
    <v>Image of MATCH GROUP, INC.</v>
  </rv>
  <rv s="0">
    <v>https://www.bing.com/financeapi/forcetrigger?t=a1y2bh&amp;q=XNAS%3aMTCH&amp;form=skydnc</v>
    <v>Learn more on Bing</v>
  </rv>
  <rv s="9">
    <v>en-US</v>
    <v>a1y2bh</v>
    <v>268435456</v>
    <v>1</v>
    <v>0</v>
    <v>Powered by Refinitiv</v>
    <v>15</v>
    <v>MATCH GROUP, INC. (XNAS:MTCH)</v>
    <v>3</v>
    <v>16</v>
    <v>Finance</v>
    <v>12</v>
    <v>174.68</v>
    <v>82.57</v>
    <v>3.98</v>
    <v>2.7770000000000003E-2</v>
    <v>USD</v>
    <v>Match Group Inc is providing dating products through its portfolio companies which are available globally. The Company’s portfolio of brands includes Tinder, Match, Meetic, OkCupid, Hinge, Pairs, PlentyOfFish, and OurTime, and other brands which are designed for users' to find a connection. Through its portfolio companies and their brands, the Company provide tailored products and enables connections across the spectrum of age, gender and dating goals. Its products are available in over 40 languages to users all over the world.</v>
    <v>1880</v>
    <v>Nasdaq Stock Market</v>
    <v>XNAS</v>
    <v>XNAS</v>
    <v>8750 NORTH CENTRAL EXPRESSWAY, SUITE 1400, DALLAS, TX, 75231 US</v>
    <v>148.43</v>
    <v>317</v>
    <v>Software &amp; IT Services</v>
    <v>Stock</v>
    <v>44340.982361770315</v>
    <v>318</v>
    <v>143.33000000000001</v>
    <v>39811448580</v>
    <v>MATCH GROUP, INC.</v>
    <v>MATCH GROUP, INC.</v>
    <v>144.18</v>
    <v>74.479299999999995</v>
    <v>143.32</v>
    <v>147.30000000000001</v>
    <v>270274600</v>
    <v>MTCH</v>
    <v>MATCH GROUP, INC. (XNAS:MTCH)</v>
    <v>1493</v>
    <v>2198541</v>
    <v>1986</v>
  </rv>
  <rv s="4">
    <v>319</v>
  </rv>
  <rv s="0">
    <v>http://pl.wikipedia.org/wiki/Maxim_Integrated_Products</v>
    <v>Wikipedia</v>
  </rv>
  <rv s="1">
    <v>0</v>
    <v>321</v>
  </rv>
  <rv s="2">
    <v>6</v>
    <v>https://www.bing.com/th?id=AMMS_5de6f793c2e00f8d7b9f1f5fa43b7c6f&amp;qlt=95</v>
    <v>322</v>
    <v>0</v>
    <v>https://www.bing.com/images/search?form=xlimg&amp;q=maxim+integrated</v>
    <v>Image of MAXIM INTEGRATED PRODUCTS, INC.</v>
  </rv>
  <rv s="0">
    <v>https://www.bing.com/financeapi/forcetrigger?t=a1y6yc&amp;q=XNAS%3aMXIM&amp;form=skydnc</v>
    <v>Learn more on Bing</v>
  </rv>
  <rv s="3">
    <v>en-US</v>
    <v>a1y6yc</v>
    <v>268435456</v>
    <v>1</v>
    <v>0</v>
    <v>Powered by Refinitiv</v>
    <v>0</v>
    <v>MAXIM INTEGRATED PRODUCTS, INC. (XNAS:MXIM)</v>
    <v>3</v>
    <v>4</v>
    <v>Finance</v>
    <v>5</v>
    <v>101.07</v>
    <v>55.934600000000003</v>
    <v>1.2</v>
    <v>1.85</v>
    <v>1.8714999999999999E-2</v>
    <v>USD</v>
    <v>Maxim Integrated Products, Inc. is engaged in designing, developing, manufacturing and marketing a range of linear and mixed-signal integrated circuits, referred to as analog circuits. The Company also provides a range of high-frequency process technologies and capabilities for use in custom designs. The Company caters to automotive, communications and data center, computing, consumer and industrial markets. It offers a range of products, such as switching regulators, battery management, isolated power, charge pumps, linear regulators, light emitting diode (LED) drivers, motor driver integrated circuits (ICs), monitors and sequencers, transceivers, controllers and expanders, level translators, signal line protection ICs, broadband switches, powerline communications, real-time clocks, embedded security, microcontrollers, 1-Wire, iButton, data loggers, clock generation and distribution, memory products, optical, signal integrity, high-speed signaling, and display power and control.</v>
    <v>7115</v>
    <v>Nasdaq Stock Market</v>
    <v>XNAS</v>
    <v>XNAS</v>
    <v>160 RIO ROBLES, SAN JOSE, CA, 95134-1813 US</v>
    <v>101.07</v>
    <v>323</v>
    <v>Semiconductors &amp; Semiconductor Equipment</v>
    <v>Stock</v>
    <v>44340.984606342186</v>
    <v>324</v>
    <v>99.625</v>
    <v>27024214520</v>
    <v>MAXIM INTEGRATED PRODUCTS, INC.</v>
    <v>MAXIM INTEGRATED PRODUCTS, INC.</v>
    <v>100.18</v>
    <v>34.8324</v>
    <v>98.85</v>
    <v>100.7</v>
    <v>268363600</v>
    <v>MXIM</v>
    <v>MAXIM INTEGRATED PRODUCTS, INC. (XNAS:MXIM)</v>
    <v>4846</v>
    <v>3011084</v>
    <v>1987</v>
  </rv>
  <rv s="4">
    <v>325</v>
  </rv>
  <rv s="0">
    <v>http://de.wikipedia.org/wiki/MercadoLibre</v>
    <v>Wikipedia</v>
  </rv>
  <rv s="1">
    <v>0</v>
    <v>327</v>
  </rv>
  <rv s="2">
    <v>6</v>
    <v>https://www.bing.com/th?id=AMMS_d9b66d0f837f80ed71b605fa7330f16c&amp;qlt=95</v>
    <v>328</v>
    <v>0</v>
    <v>https://www.bing.com/images/search?form=xlimg&amp;q=mercadolibre+com</v>
    <v>Image of MERCADOLIBRE, INC.</v>
  </rv>
  <rv s="0">
    <v>https://www.bing.com/financeapi/forcetrigger?t=a1xh8m&amp;q=XNAS%3aMELI&amp;form=skydnc</v>
    <v>Learn more on Bing</v>
  </rv>
  <rv s="3">
    <v>en-US</v>
    <v>a1xh8m</v>
    <v>268435456</v>
    <v>1</v>
    <v>0</v>
    <v>Powered by Refinitiv</v>
    <v>0</v>
    <v>MERCADOLIBRE, INC. (XNAS:MELI)</v>
    <v>3</v>
    <v>4</v>
    <v>Finance</v>
    <v>5</v>
    <v>2020</v>
    <v>783.01</v>
    <v>1.4824999999999999</v>
    <v>0.21</v>
    <v>1.5359999999999999E-4</v>
    <v>USD</v>
    <v>MercadoLibre, Inc. is an e-commerce company. The Company enables commerce through its marketplace platform in Latin America, which is designed to provide users with a portfolio of services to facilitate commercial transactions. Its geographic segments are Brazil, Argentina, Mexico Venezuela and Other Countries (which includes Chile, Colombia, Costa Rica, Dominican Republic, Ecuador, Panama, Peru, Portugal, Guatemala, Bolivia, Paraguay, Uruguay and the United States of America). It also operates online commerce platforms in the Dominican Republic, Honduras, Nicaragua, Salvador, Panama, Bolivia, Guatemala, Paraguay and Portugal. It offers an ecosystem of six integrated e-commerce services: the MercadoLibre Marketplace, the MercadoLibre Classifieds Service, the MercadoPago payments solution, the MercadoLibre advertising program, the MercadoShops online Webstores solution and the MercadoEnvios shipping service.</v>
    <v>15546</v>
    <v>Nasdaq Stock Market</v>
    <v>XNAS</v>
    <v>XNAS</v>
    <v>Pasaje Posta 4789, 6Th Floor, BUENOS AIRES, BUENOS AIRES, C1430EKG AR</v>
    <v>1385.19</v>
    <v>329</v>
    <v>Software &amp; IT Services</v>
    <v>Stock</v>
    <v>44340.998584200781</v>
    <v>330</v>
    <v>1363.6401000000001</v>
    <v>68164572705</v>
    <v>MERCADOLIBRE, INC.</v>
    <v>MERCADOLIBRE, INC.</v>
    <v>1373.43</v>
    <v>1571.373</v>
    <v>1367.12</v>
    <v>1367.33</v>
    <v>49852320</v>
    <v>MELI</v>
    <v>MERCADOLIBRE, INC. (XNAS:MELI)</v>
    <v>622</v>
    <v>482827</v>
    <v>1999</v>
  </rv>
  <rv s="4">
    <v>331</v>
  </rv>
  <rv s="0">
    <v>https://www.bing.com/financeapi/forcetrigger?t=a1xdvh&amp;q=XNAS%3aMCHP&amp;form=skydnc</v>
    <v>Learn more on Bing</v>
  </rv>
  <rv s="5">
    <v>en-US</v>
    <v>a1xdvh</v>
    <v>268435456</v>
    <v>1</v>
    <v>0</v>
    <v>Powered by Refinitiv</v>
    <v>7</v>
    <v>MICROCHIP TECHNOLOGY INCORPORATED (XNAS:MCHP)</v>
    <v>8</v>
    <v>9</v>
    <v>Finance</v>
    <v>5</v>
    <v>166.67</v>
    <v>91</v>
    <v>1.6734</v>
    <v>4.29</v>
    <v>2.8635999999999998E-2</v>
    <v>USD</v>
    <v>Microchip Technology Incorporated is engaged in developing, manufacturing and selling specialized semiconductor products used by its customers for a range of embedded control applications. The Company operates through two segments: semiconductor products and technology licensing. In the semiconductor products segment, the Company designs, develops, manufactures and markets microcontrollers, development tools and analog, interface, mixed signal and timing products. Its functional activities include sales, marketing, manufacturing, information technology, human resources, legal and finance. Its product portfolio comprises general purpose and specialized 8-bit, 16-bit, and 32-bit microcontrollers, a spectrum of linear, mixed-signal, power management, thermal management, radio frequency (RF), timing, safety, security, wired connectivity and wireless connectivity devices, as well as serial electrically erasable programmable read-only memories (EEPROMs) and serial flash memories.</v>
    <v>19500</v>
    <v>Nasdaq Stock Market</v>
    <v>XNAS</v>
    <v>XNAS</v>
    <v>2355 W CHANDLER BLVD, CHANDLER, AZ, 85224-6199 US</v>
    <v>154.87</v>
    <v>Semiconductors &amp; Semiconductor Equipment</v>
    <v>Stock</v>
    <v>44340.999669617966</v>
    <v>333</v>
    <v>151.15</v>
    <v>42151188740</v>
    <v>MICROCHIP TECHNOLOGY INCORPORATED</v>
    <v>MICROCHIP TECHNOLOGY INCORPORATED</v>
    <v>151.15</v>
    <v>118.7175</v>
    <v>149.81</v>
    <v>154.1</v>
    <v>273531400</v>
    <v>MCHP</v>
    <v>MICROCHIP TECHNOLOGY INCORPORATED (XNAS:MCHP)</v>
    <v>7652</v>
    <v>1904956</v>
    <v>1989</v>
  </rv>
  <rv s="4">
    <v>334</v>
  </rv>
  <rv s="0">
    <v>http://en.wikipedia.org/wiki/Micron_Technology</v>
    <v>Wikipedia</v>
  </rv>
  <rv s="1">
    <v>0</v>
    <v>336</v>
  </rv>
  <rv s="2">
    <v>6</v>
    <v>https://www.bing.com/th?id=AMMS_859e01ab6a50ed86a738e78dc1d269e1&amp;qlt=95</v>
    <v>337</v>
    <v>0</v>
    <v>https://www.bing.com/images/search?form=xlimg&amp;q=micron+technology</v>
    <v>Image of MICRON TECHNOLOGY, INC.</v>
  </rv>
  <rv s="0">
    <v>https://www.bing.com/financeapi/forcetrigger?t=a1y4oc&amp;q=XNAS%3aMU&amp;form=skydnc</v>
    <v>Learn more on Bing</v>
  </rv>
  <rv s="3">
    <v>en-US</v>
    <v>a1y4oc</v>
    <v>268435456</v>
    <v>1</v>
    <v>0</v>
    <v>Powered by Refinitiv</v>
    <v>0</v>
    <v>MICRON TECHNOLOGY, INC. (XNAS:MU)</v>
    <v>3</v>
    <v>4</v>
    <v>Finance</v>
    <v>5</v>
    <v>96.96</v>
    <v>42.25</v>
    <v>1.2527999999999999</v>
    <v>2.1800000000000002</v>
    <v>2.7007E-2</v>
    <v>USD</v>
    <v>Micron Technology, Inc. is engaged in semiconductor systems. The Company's portfolio of memory technologies, including dynamic random-access memory (DRAM), negative-AND (NAND) Flash and NOR Flash are the basis for solid-state drives, modules, multi-chip packages and other system solutions. Its business segments include Compute and Networking Business Unit (CNBU), which includes memory products sold into compute, networking, graphics and cloud server markets; Mobile Business Unit (MBU), which includes memory products sold into smartphone, tablet and other mobile-device markets; Storage Business Unit (SBU), which includes memory products sold into enterprise, client, cloud and removable storage markets, and SBU also includes products sold to Intel through its Intel/Micron Flash Technology (IMFT) joint venture, and Embedded Business Unit (EBU), which includes memory products sold into automotive, industrial, connected home and consumer electronics markets.</v>
    <v>40000</v>
    <v>Nasdaq Stock Market</v>
    <v>XNAS</v>
    <v>XNAS</v>
    <v>8000 S Federal Way, Po Box 6, BOISE, ID, 83716-9632 US</v>
    <v>83.62</v>
    <v>338</v>
    <v>Semiconductors &amp; Semiconductor Equipment</v>
    <v>Stock</v>
    <v>44340.999775520315</v>
    <v>339</v>
    <v>81.360500000000002</v>
    <v>90520660000</v>
    <v>MICRON TECHNOLOGY, INC.</v>
    <v>MICRON TECHNOLOGY, INC.</v>
    <v>81.417500000000004</v>
    <v>29.417999999999999</v>
    <v>80.72</v>
    <v>82.9</v>
    <v>1121416000</v>
    <v>MU</v>
    <v>MICRON TECHNOLOGY, INC. (XNAS:MU)</v>
    <v>109368</v>
    <v>18406178</v>
    <v>1984</v>
  </rv>
  <rv s="4">
    <v>340</v>
  </rv>
  <rv s="0">
    <v>https://en.wikipedia.org/wiki/Microsoft</v>
    <v>Wikipedia</v>
  </rv>
  <rv s="1">
    <v>0</v>
    <v>342</v>
  </rv>
  <rv s="2">
    <v>6</v>
    <v>https://www.bing.com/th?id=AMMS_1435b697418eae5bfbed034f46c28dc4&amp;qlt=95</v>
    <v>343</v>
    <v>0</v>
    <v>https://www.bing.com/images/search?form=xlimg&amp;q=microsoft</v>
    <v>Image of MICROSOFT CORPORATION</v>
  </rv>
  <rv s="0">
    <v>https://www.bing.com/financeapi/forcetrigger?t=a1xzim&amp;q=XNAS%3aMSFT&amp;form=skydnc</v>
    <v>Learn more on Bing</v>
  </rv>
  <rv s="3">
    <v>en-US</v>
    <v>a1xzim</v>
    <v>268435456</v>
    <v>1</v>
    <v>0</v>
    <v>Powered by Refinitiv</v>
    <v>0</v>
    <v>MICROSOFT CORPORATION (XNAS:MSFT)</v>
    <v>3</v>
    <v>4</v>
    <v>Finance</v>
    <v>5</v>
    <v>263.19</v>
    <v>176.6</v>
    <v>0.78939999999999999</v>
    <v>5.61</v>
    <v>2.2882E-2</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251.16</v>
    <v>344</v>
    <v>Software &amp; IT Services</v>
    <v>Stock</v>
    <v>44340.999954235936</v>
    <v>345</v>
    <v>247.51</v>
    <v>1888768378500</v>
    <v>MICROSOFT CORPORATION</v>
    <v>MICROSOFT CORPORATION</v>
    <v>247.785</v>
    <v>34.1297</v>
    <v>245.17</v>
    <v>250.78</v>
    <v>7531575000</v>
    <v>MSFT</v>
    <v>MICROSOFT CORPORATION (XNAS:MSFT)</v>
    <v>96217</v>
    <v>27079437</v>
    <v>1993</v>
  </rv>
  <rv s="4">
    <v>346</v>
  </rv>
  <rv s="0">
    <v>https://www.bing.com/financeapi/forcetrigger?t=bo5fpr&amp;q=XNAS%3aMRNA&amp;form=skydnc</v>
    <v>Learn more on Bing</v>
  </rv>
  <rv s="11">
    <v>en-US</v>
    <v>bo5fpr</v>
    <v>268435456</v>
    <v>1</v>
    <v>0</v>
    <v>Powered by Refinitiv</v>
    <v>19</v>
    <v>MODERNA, INC. (XNAS:MRNA)</v>
    <v>8</v>
    <v>20</v>
    <v>Finance</v>
    <v>5</v>
    <v>189.26</v>
    <v>46.130099999999999</v>
    <v>2.72</v>
    <v>1.6847000000000001E-2</v>
    <v>USD</v>
    <v>Moderna, Inc. is engaged in transformative medicines based on messenger ribonucleic acid (mRNA). It has created a platform to improve the underlying pharmaceutical properties of our mRNA medicines. Its platform consists of three areas: mRNA technologies, delivery technologies, and manufacturing processes. It is pursuing mRNA science to minimize the undesirable activation of the immune system by mRNA and to maximize the potency of mRNA once in the target cells. It has advanced in parallel a diverse development pipeline of 21 programs, of which 10 have entered clinical studies and another three have open INDs. Its therapeutics and vaccine development programs span infectious diseases, oncology, cardiovascular diseases, and rare genetic diseases. It has created six modalities prophylactic vaccines, cancer vaccines, intratumoral immmuno-oncology, localized regenerative therapeutics, systemic secreted therapeutics and systemic intracellular therapeutics.</v>
    <v>1300</v>
    <v>Nasdaq Stock Market</v>
    <v>XNAS</v>
    <v>XNAS</v>
    <v>200 Technology Sq, Cambridge, MA, 02139-3578 US</v>
    <v>166.8</v>
    <v>Biotechnology &amp; Medical Research</v>
    <v>Stock</v>
    <v>44340.999984548434</v>
    <v>348</v>
    <v>161.01</v>
    <v>65918818925</v>
    <v>MODERNA, INC.</v>
    <v>MODERNA, INC.</v>
    <v>162.88130000000001</v>
    <v>130.89930000000001</v>
    <v>161.44999999999999</v>
    <v>164.17</v>
    <v>401527800</v>
    <v>MRNA</v>
    <v>MODERNA, INC. (XNAS:MRNA)</v>
    <v>216799</v>
    <v>9964373</v>
    <v>2016</v>
  </rv>
  <rv s="4">
    <v>349</v>
  </rv>
  <rv s="0">
    <v>http://en.wikipedia.org/wiki/Mondelez_International</v>
    <v>Wikipedia</v>
  </rv>
  <rv s="1">
    <v>0</v>
    <v>351</v>
  </rv>
  <rv s="2">
    <v>6</v>
    <v>https://www.bing.com/th?id=AMMS_3d2dcb503c2f01399fa4785f72b629a0&amp;qlt=95</v>
    <v>352</v>
    <v>0</v>
    <v>https://www.bing.com/images/search?form=xlimg&amp;q=mondel%c4%93z+international</v>
    <v>Image of Mondelez International, Inc.</v>
  </rv>
  <rv s="0">
    <v>https://www.bing.com/financeapi/forcetrigger?t=a1xfoc&amp;q=XNAS%3aMDLZ&amp;form=skydnc</v>
    <v>Learn more on Bing</v>
  </rv>
  <rv s="3">
    <v>en-US</v>
    <v>a1xfoc</v>
    <v>268435456</v>
    <v>1</v>
    <v>0</v>
    <v>Powered by Refinitiv</v>
    <v>0</v>
    <v>Mondelez International, Inc. (XNAS:MDLZ)</v>
    <v>3</v>
    <v>4</v>
    <v>Finance</v>
    <v>5</v>
    <v>64.02</v>
    <v>49.38</v>
    <v>0.66649999999999998</v>
    <v>0.32</v>
    <v>5.0509999999999999E-3</v>
    <v>USD</v>
    <v>Mondelez International, Inc. is a snack company. The Company manufactures and markets snack food and beverage products for consumers. It operates through four segments: Latin America, Asia, Middle East, and Africa (AMEA), Europe and North America. Its brands spanned five product categories: Biscuits, including cookies, crackers and salted snacks; Chocolate; Gum and candy; Beverages, including coffee and powdered beverages, and Cheese and grocery. Its portfolio includes various snack brands, including Nabisco, Oreo, LU and belVita biscuits; Cadbury, Milka, Cadbury Dairy Milk and Toblerone chocolate; Trident gum; Halls candy, and Tang powdered beverages. The Company sells its products to supermarket chains, wholesalers, supercenters, club stores, mass merchandisers, distributors, convenience stores, gasoline stations, drug stores, value stores and retail food outlets.</v>
    <v>79000</v>
    <v>Nasdaq Stock Market</v>
    <v>XNAS</v>
    <v>XNAS</v>
    <v>905 West Fulton Market, Suite 200, CHICAGO, IL, 60607 US</v>
    <v>64.02</v>
    <v>353</v>
    <v>Food &amp; Tobacco</v>
    <v>Stock</v>
    <v>44340.999978506246</v>
    <v>354</v>
    <v>63.4</v>
    <v>89451996480</v>
    <v>Mondelez International, Inc.</v>
    <v>Mondelez International, Inc.</v>
    <v>63.52</v>
    <v>24.1785</v>
    <v>63.36</v>
    <v>63.68</v>
    <v>1404711000</v>
    <v>MDLZ</v>
    <v>Mondelez International, Inc. (XNAS:MDLZ)</v>
    <v>9993</v>
    <v>7545186</v>
    <v>2005</v>
  </rv>
  <rv s="4">
    <v>355</v>
  </rv>
  <rv s="0">
    <v>https://www.bing.com/financeapi/forcetrigger?t=a1xth7&amp;q=XNAS%3aMNST&amp;form=skydnc</v>
    <v>Learn more on Bing</v>
  </rv>
  <rv s="5">
    <v>en-US</v>
    <v>a1xth7</v>
    <v>268435456</v>
    <v>1</v>
    <v>0</v>
    <v>Powered by Refinitiv</v>
    <v>7</v>
    <v>MONSTER BEVERAGE CORPORATION (XNAS:MNST)</v>
    <v>8</v>
    <v>9</v>
    <v>Finance</v>
    <v>5</v>
    <v>99.239900000000006</v>
    <v>66.62</v>
    <v>1.1026</v>
    <v>1.22</v>
    <v>1.3259E-2</v>
    <v>USD</v>
    <v>Monster Beverage Corporation develops, markets, sells and distributes energy drink beverages, sodas and/or concentrates for energy drink beverages, primarily under various brand names, including Monster Energy, Monster Rehab, Monster Energy Extra Strength Nitrous Technology, Java Monster, Muscle Monster, Mega Monster Energy, Punch Monster, Juice Monster, Ubermonster, BU, Mutant Super Soda, Nalu, NOS, Burn, Mother, Ultra, Play and Power Play, Gladiator, Relentless, Samurai, BPM and Full Throttle. The Company has three segments: Monster Energy Drinks segment, which consists of its Monster Energy drinks, as well as Mutant Super Soda drinks; Strategic Brands segment, which includes various energy drink brands owned through The Coca-Cola Company (TCCC), and Other segment (Other), which includes the American Fruits &amp; Flavors (AFF) third-party products. The Strategic Brands segment sells concentrates and/or beverage bases to authorized bottling and canning operations.</v>
    <v>3666</v>
    <v>Nasdaq Stock Market</v>
    <v>XNAS</v>
    <v>XNAS</v>
    <v>1 Monster Way, CORONA, CA, 92879-7101 US</v>
    <v>93.77</v>
    <v>Beverages</v>
    <v>Stock</v>
    <v>44340.874928147656</v>
    <v>357</v>
    <v>92.32</v>
    <v>49277853906</v>
    <v>MONSTER BEVERAGE CORPORATION</v>
    <v>MONSTER BEVERAGE CORPORATION</v>
    <v>92.61</v>
    <v>13.683</v>
    <v>92.01</v>
    <v>93.23</v>
    <v>528562200</v>
    <v>MNST</v>
    <v>MONSTER BEVERAGE CORPORATION (XNAS:MNST)</v>
    <v>2154</v>
    <v>2028175</v>
    <v>2014</v>
  </rv>
  <rv s="4">
    <v>358</v>
  </rv>
  <rv s="0">
    <v>https://www.bing.com/financeapi/forcetrigger?t=a1yrp2&amp;q=XNAS%3aNTES&amp;form=skydnc</v>
    <v>Learn more on Bing</v>
  </rv>
  <rv s="5">
    <v>en-US</v>
    <v>a1yrp2</v>
    <v>268435456</v>
    <v>1</v>
    <v>0</v>
    <v>Powered by Refinitiv</v>
    <v>7</v>
    <v>NETEASE, INC. (XNAS:NTES)</v>
    <v>8</v>
    <v>9</v>
    <v>Finance</v>
    <v>5</v>
    <v>134.33000000000001</v>
    <v>72.201999999999998</v>
    <v>0.44130000000000003</v>
    <v>-3.89</v>
    <v>-3.3137E-2</v>
    <v>USD</v>
    <v>NetEase Inc is a technology company. The Company operates three business segments. The Online Game Service segment is engaged in developing and operating online game services that cover mobile games and personal computer (PC) games. The games include Westward Journey, Onmyoji series and so on. The Youdao segment provides intelligent learning services. Its products and services include Youdao Premium Courses, Youdao Dictionary and Youdao Dictionary Pen. The Innovative Businesses and Others segment provides products Netease Cloud Music, Netease Mail, Netease News and other products. The Company conducts its businesses both in domestic and international markets, including Japan, the United States, Europe and Southeast Asia.</v>
    <v>28239</v>
    <v>Nasdaq Stock Market</v>
    <v>XNAS</v>
    <v>XNAS</v>
    <v>NetEase Building, No. 599 Wangshang Road, Binjiang District, HANGZHOU, ZHEJIANG, 310052 CN</v>
    <v>116.36</v>
    <v>Software &amp; IT Services</v>
    <v>Stock</v>
    <v>44340.999853135938</v>
    <v>360</v>
    <v>113.13</v>
    <v>78766420000</v>
    <v>NETEASE, INC.</v>
    <v>NETEASE, INC.</v>
    <v>115.93</v>
    <v>20.252300000000002</v>
    <v>117.39</v>
    <v>113.5</v>
    <v>3354903000</v>
    <v>NTES</v>
    <v>NETEASE, INC. (XNAS:NTES)</v>
    <v>14580</v>
    <v>1805914</v>
    <v>1999</v>
  </rv>
  <rv s="4">
    <v>361</v>
  </rv>
  <rv s="0">
    <v>http://en.wikipedia.org/wiki/Netflix</v>
    <v>Wikipedia</v>
  </rv>
  <rv s="1">
    <v>0</v>
    <v>363</v>
  </rv>
  <rv s="2">
    <v>6</v>
    <v>https://www.bing.com/th?id=AMMS_61c0f4eda3ea9d8b58d8696b473015ad&amp;qlt=95</v>
    <v>364</v>
    <v>0</v>
    <v>https://www.bing.com/images/search?form=xlimg&amp;q=netflix</v>
    <v>Image of NETFLIX, INC.</v>
  </rv>
  <rv s="0">
    <v>https://www.bing.com/financeapi/forcetrigger?t=a1ygoc&amp;q=XNAS%3aNFLX&amp;form=skydnc</v>
    <v>Learn more on Bing</v>
  </rv>
  <rv s="3">
    <v>en-US</v>
    <v>a1ygoc</v>
    <v>268435456</v>
    <v>1</v>
    <v>0</v>
    <v>Powered by Refinitiv</v>
    <v>0</v>
    <v>NETFLIX, INC. (XNAS:NFLX)</v>
    <v>3</v>
    <v>4</v>
    <v>Finance</v>
    <v>5</v>
    <v>593.28769999999997</v>
    <v>397.86</v>
    <v>0.75409999999999999</v>
    <v>5.01</v>
    <v>1.0062E-2</v>
    <v>USD</v>
    <v>Netflix, Inc. is a provider of subscription streaming entertainment service. The Company has paid streaming memberships in over 190 countries and it allows members to watch a variety of television (TV) series, documentaries and feature films across a wide variety of genres and languages. Members can watch as much as they want, anytime, anywhere, on any Internet-connected screen. Members can play, pause and resume watching, without commercials. It offers a variety of streaming membership plans, the price of which varies by country and the features of the plan. Pricing on its plans ranges from $3 to $23 per month. Members can watch content from Netflix through any Internet-connected device that offers the Netflix application, including smart TVs, game consoles, streaming media players, set-top boxes, smartphones and tablets. The Company acquires, licenses and produces content, including original programing.</v>
    <v>9400</v>
    <v>Nasdaq Stock Market</v>
    <v>XNAS</v>
    <v>XNAS</v>
    <v>100 Winchester Cir, LOS GATOS, CA, 95032-1815 US</v>
    <v>504.25</v>
    <v>365</v>
    <v>Software &amp; IT Services</v>
    <v>Stock</v>
    <v>44340.999360971873</v>
    <v>366</v>
    <v>499.51</v>
    <v>222987217830</v>
    <v>NETFLIX, INC.</v>
    <v>NETFLIX, INC.</v>
    <v>501.05</v>
    <v>62.3371</v>
    <v>497.89</v>
    <v>502.9</v>
    <v>443402700</v>
    <v>NFLX</v>
    <v>NETFLIX, INC. (XNAS:NFLX)</v>
    <v>10320</v>
    <v>5080714</v>
    <v>1997</v>
  </rv>
  <rv s="4">
    <v>367</v>
  </rv>
  <rv s="0">
    <v>http://en.wikipedia.org/wiki/Nvidia</v>
    <v>Wikipedia</v>
  </rv>
  <rv s="1">
    <v>0</v>
    <v>369</v>
  </rv>
  <rv s="2">
    <v>6</v>
    <v>https://www.bing.com/th?id=AMMS_a1316160b9d7d0e339f77550180e6aa0&amp;qlt=95</v>
    <v>370</v>
    <v>0</v>
    <v>https://www.bing.com/images/search?form=xlimg&amp;q=nvidia</v>
    <v>Image of NVIDIA CORPORATION</v>
  </rv>
  <rv s="0">
    <v>https://www.bing.com/financeapi/forcetrigger?t=a1yv52&amp;q=XNAS%3aNVDA&amp;form=skydnc</v>
    <v>Learn more on Bing</v>
  </rv>
  <rv s="3">
    <v>en-US</v>
    <v>a1yv52</v>
    <v>268435456</v>
    <v>1</v>
    <v>0</v>
    <v>Powered by Refinitiv</v>
    <v>0</v>
    <v>NVIDIA CORPORATION (XNAS:NVDA)</v>
    <v>3</v>
    <v>4</v>
    <v>Finance</v>
    <v>5</v>
    <v>648.56600000000003</v>
    <v>319.87</v>
    <v>1.3702000000000001</v>
    <v>24.81</v>
    <v>4.1373E-2</v>
    <v>USD</v>
    <v>Nvidia Corporation focuses on personal computer (PC) graphics, graphics processing unit (GPU) and also on artificial intelligence (AI). It operates through two segments: GPU and Tegra Processor. Its GPU product brands are aimed at specialized markets, including GeForce for gamers; Quadro for designers; Tesla and DGX for AI data scientists and big data researchers; and GRID for cloud-based visual computing users. Its Tegra brand integrates an entire computer onto a single chip, and incorporates GPUs and multi-core central processing units (CPUs) to drive supercomputing for mobile gaming and entertainment devices, as well as autonomous robots, drones and cars. The Company's processor has created platforms that address four markets: Gaming, Professional Visualization, Datacenter, and Automotive. Its offerings include NVIDIA DGX AI supercomputer, the NVIDIA DRIVE AI car computing platform and the GeForce NOW cloud gaming service.</v>
    <v>18975</v>
    <v>Nasdaq Stock Market</v>
    <v>XNAS</v>
    <v>XNAS</v>
    <v>2788 San Tomas Expy, SANTA CLARA, CA, 95051-0952 US</v>
    <v>629.79999999999995</v>
    <v>371</v>
    <v>Semiconductors &amp; Semiconductor Equipment</v>
    <v>Stock</v>
    <v>44340.999965196097</v>
    <v>372</v>
    <v>607.04</v>
    <v>388666110528</v>
    <v>NVIDIA CORPORATION</v>
    <v>NVIDIA CORPORATION</v>
    <v>608.5</v>
    <v>90.529399999999995</v>
    <v>599.66999999999996</v>
    <v>624.48</v>
    <v>622383600</v>
    <v>NVDA</v>
    <v>NVIDIA CORPORATION (XNAS:NVDA)</v>
    <v>212848</v>
    <v>7026205</v>
    <v>1998</v>
  </rv>
  <rv s="4">
    <v>373</v>
  </rv>
  <rv s="0">
    <v>http://en.wikipedia.org/wiki/NXP_Semiconductors</v>
    <v>Wikipedia</v>
  </rv>
  <rv s="1">
    <v>0</v>
    <v>375</v>
  </rv>
  <rv s="2">
    <v>6</v>
    <v>https://www.bing.com/th?id=AMMS_a39f8f465985f36028cc6ede38d1c893&amp;qlt=95</v>
    <v>376</v>
    <v>0</v>
    <v>https://www.bing.com/images/search?form=xlimg&amp;q=nxp+semiconductors</v>
    <v>Image of NXP Semiconductors NV</v>
  </rv>
  <rv s="0">
    <v>https://www.bing.com/financeapi/forcetrigger?t=a1yy2w&amp;q=XNAS%3aNXPI&amp;form=skydnc</v>
    <v>Learn more on Bing</v>
  </rv>
  <rv s="3">
    <v>en-US</v>
    <v>a1yy2w</v>
    <v>268435456</v>
    <v>1</v>
    <v>0</v>
    <v>Powered by Refinitiv</v>
    <v>0</v>
    <v>NXP Semiconductors NV (XNAS:NXPI)</v>
    <v>3</v>
    <v>4</v>
    <v>Finance</v>
    <v>12</v>
    <v>216.43</v>
    <v>96.1</v>
    <v>1.4320999999999999</v>
    <v>4.54</v>
    <v>2.2717999999999999E-2</v>
    <v>USD</v>
    <v>NXP Semiconductors N.V. (NXP) is a holding company. The Company operates as a semiconductor company. The Company provides high performance mixed signal and standard product solutions. The Company's segments are High Performance Mixed Signal (HPMS), Standard Products (SP), and Corporate and Other. Its product solutions are used in a range of end-market applications, including automotive, personal security and identification, wireless and wireline infrastructure, mobile communications, multi-market industrial, consumer and computing. It engages with global original equipment manufacturers (OEMs) and sells products in all geographic regions. NXP's HPMS segment includes business lines, such as Automotive, Secure Identification Solutions (SIS), Secure Connected Devices (SCD), and Secure Interfaces and Infrastructure (SI&amp;I). The Company's SP segment supplies a range of standard semiconductor components, such as small signal discretes and power discretes.</v>
    <v>29000</v>
    <v>Nasdaq Stock Market</v>
    <v>XNAS</v>
    <v>XNAS</v>
    <v>High Tech Campus 60, EINDHOVEN, NOORD-BRABANT, 5656 AG NL</v>
    <v>205.7</v>
    <v>377</v>
    <v>Semiconductors &amp; Semiconductor Equipment</v>
    <v>Stock</v>
    <v>44340.994160068753</v>
    <v>378</v>
    <v>200.74039999999999</v>
    <v>56357846314</v>
    <v>NXP Semiconductors NV</v>
    <v>NXP Semiconductors NV</v>
    <v>200.74039999999999</v>
    <v>141.70519999999999</v>
    <v>199.84</v>
    <v>204.38</v>
    <v>275750300</v>
    <v>NXPI</v>
    <v>NXP Semiconductors NV (XNAS:NXPI)</v>
    <v>1938</v>
    <v>2878956</v>
    <v>2006</v>
  </rv>
  <rv s="4">
    <v>379</v>
  </rv>
  <rv s="0">
    <v>https://www.bing.com/financeapi/forcetrigger?t=a1zbvh&amp;q=XNAS%3aORLY&amp;form=skydnc</v>
    <v>Learn more on Bing</v>
  </rv>
  <rv s="5">
    <v>en-US</v>
    <v>a1zbvh</v>
    <v>268435456</v>
    <v>1</v>
    <v>0</v>
    <v>Powered by Refinitiv</v>
    <v>7</v>
    <v>O'Reilly Automotive, Inc. (XNAS:ORLY)</v>
    <v>8</v>
    <v>9</v>
    <v>Finance</v>
    <v>12</v>
    <v>568.63</v>
    <v>397.69</v>
    <v>1.0868</v>
    <v>-7.32</v>
    <v>-1.3450999999999999E-2</v>
    <v>USD</v>
    <v>O'Reilly Automotive, Inc. is a specialty retailer of automotive aftermarket parts, tools, supplies, equipment and accessories in the United States. The Company sells its products to both do-it-yourself (DIY) and professional service provider customers. The Company's product line includes new and remanufactured automotive hard parts, such as alternators, starters, fuel pumps, water pumps, brake system components, batteries, belts, hoses, temperature control, chassis parts, driveline parts and engine parts; maintenance items, such as oil, antifreeze, fluids, filters, wiper blades, lighting, engine additives and appearance products, and accessories, such as floor mats, seat covers and truck accessories. The Company's stores offer various services and programs to its customers, such as used oil, oil filter and battery recycling; battery diagnostic testing; electrical and module testing; check engine light code extraction; loaner tool program; custom hydraulic hoses, and machine shops.</v>
    <v>62530</v>
    <v>Nasdaq Stock Market</v>
    <v>XNAS</v>
    <v>XNAS</v>
    <v>233 S Patterson Ave, SPRINGFIELD, MO, 65802-2210 US</v>
    <v>547.97</v>
    <v>Specialty Retailers</v>
    <v>Stock</v>
    <v>44340.93858524297</v>
    <v>381</v>
    <v>536.47</v>
    <v>37453640020</v>
    <v>O'Reilly Automotive, Inc.</v>
    <v>O'Reilly Automotive, Inc.</v>
    <v>545.96</v>
    <v>20.1554</v>
    <v>544.20000000000005</v>
    <v>536.88</v>
    <v>69761660</v>
    <v>ORLY</v>
    <v>O'Reilly Automotive, Inc. (XNAS:ORLY)</v>
    <v>11</v>
    <v>483353</v>
    <v>2010</v>
  </rv>
  <rv s="4">
    <v>382</v>
  </rv>
  <rv s="0">
    <v>http://en.wikipedia.org/wiki/Okta_(identity_management)</v>
    <v>Wikipedia</v>
  </rv>
  <rv s="1">
    <v>0</v>
    <v>384</v>
  </rv>
  <rv s="2">
    <v>6</v>
    <v>https://www.bing.com/th?id=AMMS_a680b74d3a9b3915fc309e4a0a434c92&amp;qlt=95</v>
    <v>385</v>
    <v>0</v>
    <v>https://www.bing.com/images/search?form=xlimg&amp;q=okta</v>
    <v>Image of OKTA, INC.</v>
  </rv>
  <rv s="0">
    <v>https://www.bing.com/financeapi/forcetrigger?t=a1z6qh&amp;q=XNAS%3aOKTA&amp;form=skydnc</v>
    <v>Learn more on Bing</v>
  </rv>
  <rv s="6">
    <v>en-US</v>
    <v>a1z6qh</v>
    <v>268435456</v>
    <v>1</v>
    <v>0</v>
    <v>Powered by Refinitiv</v>
    <v>10</v>
    <v>OKTA, INC. (XNAS:OKTA)</v>
    <v>3</v>
    <v>11</v>
    <v>Finance</v>
    <v>5</v>
    <v>294</v>
    <v>166.65</v>
    <v>0.96279999999999999</v>
    <v>4.25</v>
    <v>1.7834000000000003E-2</v>
    <v>USD</v>
    <v>Okta, Inc., is an independent provider of identity for the enterprise. The Company's Okta Identity Cloud platform provides identity management solutions that enable customers to secure their users and connect them to technology and applications. It allows users to access a range of cloud applications, Websites, mobile applications and service from various devices. Its platform is used by information technology (IT) organizations to secure their enterprise and by developers to build customer-facing Websites and applications. Okta Identity Cloud consists of a suite of products to manage and secure identities. It offers a range of products, such as Adaptive Multi-Factor Authentication, Universal Directory, Lifecycle Management products, Single Sign-On, application program interface (API) Access Management and Mobility Management. It also provides a platform to authenticate, authorize, and secure access for applications, devices and users.</v>
    <v>2806</v>
    <v>Nasdaq Stock Market</v>
    <v>XNAS</v>
    <v>XNAS</v>
    <v>100 1st St Ste 600, SAN FRANCISCO, CA, 94105-4687 US</v>
    <v>243.61</v>
    <v>386</v>
    <v>Software &amp; IT Services</v>
    <v>Stock</v>
    <v>44340.98858146953</v>
    <v>387</v>
    <v>239.55</v>
    <v>30333680384</v>
    <v>OKTA, INC.</v>
    <v>OKTA, INC.</v>
    <v>240.35</v>
    <v>238.31</v>
    <v>242.56</v>
    <v>125056400</v>
    <v>OKTA</v>
    <v>OKTA, INC. (XNAS:OKTA)</v>
    <v>3902</v>
    <v>1633769</v>
    <v>2010</v>
  </rv>
  <rv s="4">
    <v>388</v>
  </rv>
  <rv s="0">
    <v>http://en.wikipedia.org/wiki/Paccar</v>
    <v>Wikipedia</v>
  </rv>
  <rv s="1">
    <v>0</v>
    <v>390</v>
  </rv>
  <rv s="2">
    <v>6</v>
    <v>https://www.bing.com/th?id=AMMS_38c2d8442a869e871f88103680ddebf3&amp;qlt=95</v>
    <v>391</v>
    <v>0</v>
    <v>https://www.bing.com/images/search?form=xlimg&amp;q=paccar</v>
    <v>Image of PACCAR INC</v>
  </rv>
  <rv s="0">
    <v>https://www.bing.com/financeapi/forcetrigger?t=a1zk27&amp;q=XNAS%3aPCAR&amp;form=skydnc</v>
    <v>Learn more on Bing</v>
  </rv>
  <rv s="3">
    <v>en-US</v>
    <v>a1zk27</v>
    <v>268435456</v>
    <v>1</v>
    <v>0</v>
    <v>Powered by Refinitiv</v>
    <v>0</v>
    <v>PACCAR INC (XNAS:PCAR)</v>
    <v>3</v>
    <v>4</v>
    <v>Finance</v>
    <v>12</v>
    <v>103.19</v>
    <v>68.959900000000005</v>
    <v>1.0096000000000001</v>
    <v>-0.19</v>
    <v>-2.065E-3</v>
    <v>USD</v>
    <v>PACCAR Inc (PACCAR) is a technology company. The Company's segments include Truck, Parts and Financial Services. The Truck segment includes the design, manufacture and distribution of light-, medium- and heavy-duty commercial trucks. The Company's trucks are marketed under the Kenworth, Peterbilt and DAF nameplates. It also manufactures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Its Other business includes the manufacturing and marketing of industrial winches. The Company operates in Australia and Brazil and sells trucks and parts to customers in Asia, Africa, Middle East and South America.</v>
    <v>26000</v>
    <v>Nasdaq Stock Market</v>
    <v>XNAS</v>
    <v>XNAS</v>
    <v>Paccar Building, 777 106Th Avenue Ne, BELLEVUE, WA, 98004 US</v>
    <v>92.73</v>
    <v>392</v>
    <v>Machinery, Equipment &amp; Components</v>
    <v>Stock</v>
    <v>44340.972847753903</v>
    <v>393</v>
    <v>91.79</v>
    <v>31882843776</v>
    <v>PACCAR INC</v>
    <v>PACCAR INC</v>
    <v>92.73</v>
    <v>22.6691</v>
    <v>92.03</v>
    <v>91.84</v>
    <v>347156400</v>
    <v>PCAR</v>
    <v>PACCAR INC (XNAS:PCAR)</v>
    <v>150</v>
    <v>2034870</v>
    <v>1971</v>
  </rv>
  <rv s="4">
    <v>394</v>
  </rv>
  <rv s="0">
    <v>http://en.wikipedia.org/wiki/Paychex</v>
    <v>Wikipedia</v>
  </rv>
  <rv s="1">
    <v>0</v>
    <v>396</v>
  </rv>
  <rv s="2">
    <v>6</v>
    <v>https://www.bing.com/th?id=AMMS_be4750b5471c364eada6748eb61064d1&amp;qlt=95</v>
    <v>397</v>
    <v>0</v>
    <v>https://www.bing.com/images/search?form=xlimg&amp;q=paychex</v>
    <v>Image of PAYCHEX, INC.</v>
  </rv>
  <rv s="0">
    <v>https://www.bing.com/financeapi/forcetrigger?t=a1zhcw&amp;q=XNAS%3aPAYX&amp;form=skydnc</v>
    <v>Learn more on Bing</v>
  </rv>
  <rv s="3">
    <v>en-US</v>
    <v>a1zhcw</v>
    <v>268435456</v>
    <v>1</v>
    <v>0</v>
    <v>Powered by Refinitiv</v>
    <v>0</v>
    <v>PAYCHEX, INC. (XNAS:PAYX)</v>
    <v>3</v>
    <v>4</v>
    <v>Finance</v>
    <v>12</v>
    <v>102.61</v>
    <v>68.39</v>
    <v>0.88460000000000005</v>
    <v>1.1399999999999999</v>
    <v>1.1314999999999999E-2</v>
    <v>USD</v>
    <v>Paychex, Inc. is a provider of integrated human capital management (HCM) solutions for payroll, human resource (HR), retirement and insurance services for small- to medium-sized businesses in the United States. The Company also has operations in Germany. The Company offers services, including Payroll processing, Human Resource Services, and Accounting and Financial Services. As of May 31, 2016, the Company serviced approximately 605,000 payroll clients. It offers a portfolio of HCM services and products that allows its clients to meet their payroll and HR needs. Its payroll-related ancillary services and human resource service (HRS) offerings often leverage the information gathered in the base payroll processing service, allowing it to provide outsourcing services covering the HCM spectrum. The Company, through its HCM software-as-a-service platform, Paychex Flex, provides an integrated product suite that covers the employee life cycle from recruiting and hiring to retirement.</v>
    <v>15600</v>
    <v>Nasdaq Stock Market</v>
    <v>XNAS</v>
    <v>XNAS</v>
    <v>911 Panorama Trl S, ROCHESTER, NY, 14625-0397 US</v>
    <v>102.1884</v>
    <v>398</v>
    <v>Professional &amp; Commercial Services</v>
    <v>Stock</v>
    <v>44340.928792024999</v>
    <v>399</v>
    <v>101.12</v>
    <v>36717090589</v>
    <v>PAYCHEX, INC.</v>
    <v>PAYCHEX, INC.</v>
    <v>101.49</v>
    <v>34.940300000000001</v>
    <v>100.75</v>
    <v>101.89</v>
    <v>360360100</v>
    <v>PAYX</v>
    <v>PAYCHEX, INC. (XNAS:PAYX)</v>
    <v>50</v>
    <v>1587464</v>
    <v>1979</v>
  </rv>
  <rv s="4">
    <v>400</v>
  </rv>
  <rv s="0">
    <v>http://en.wikipedia.org/wiki/PayPal</v>
    <v>Wikipedia</v>
  </rv>
  <rv s="1">
    <v>0</v>
    <v>402</v>
  </rv>
  <rv s="2">
    <v>6</v>
    <v>https://www.bing.com/th?id=AMMS_b059388483fc6bc7e1b6c50efc374747&amp;qlt=95</v>
    <v>403</v>
    <v>0</v>
    <v>https://www.bing.com/images/search?form=xlimg&amp;q=paypal</v>
    <v>Image of PAYPAL HOLDINGS, INC.</v>
  </rv>
  <rv s="0">
    <v>https://www.bing.com/financeapi/forcetrigger?t=a21icw&amp;q=XNAS%3aPYPL&amp;form=skydnc</v>
    <v>Learn more on Bing</v>
  </rv>
  <rv s="3">
    <v>en-US</v>
    <v>a21icw</v>
    <v>268435456</v>
    <v>1</v>
    <v>0</v>
    <v>Powered by Refinitiv</v>
    <v>0</v>
    <v>PAYPAL HOLDINGS, INC. (XNAS:PYPL)</v>
    <v>3</v>
    <v>4</v>
    <v>Finance</v>
    <v>5</v>
    <v>309.14</v>
    <v>140.02000000000001</v>
    <v>1.1587000000000001</v>
    <v>6.48</v>
    <v>2.5849E-2</v>
    <v>USD</v>
    <v>PayPal Holdings, Inc. is a technology platform and digital payments company that enables digital and mobile payments on behalf of consumers and merchants. The Company's combined payment solutions, including its PayPal, PayPal Credit, Braintree, Venmo, Xoom, iZettle, and Hyperwallet products and services, comprise its Payments Platform. It operates a two-sided network that links its customers around the globe to facilitate the processing of payment transactions, allowing it to connect merchants and consumers. The Company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The Company also offers consumers person-to-person (P2P) payment solutions through its PayPal Website and mobile application, Venmo and Xoom.</v>
    <v>26500</v>
    <v>Nasdaq Stock Market</v>
    <v>XNAS</v>
    <v>XNAS</v>
    <v>2211 N 1st St, SAN JOSE, CA, 95131 US</v>
    <v>257.60000000000002</v>
    <v>404</v>
    <v>Software &amp; IT Services</v>
    <v>Stock</v>
    <v>44340.998002835157</v>
    <v>405</v>
    <v>252.43</v>
    <v>302104799760</v>
    <v>PAYPAL HOLDINGS, INC.</v>
    <v>PAYPAL HOLDINGS, INC.</v>
    <v>254.13</v>
    <v>58.5959</v>
    <v>250.69</v>
    <v>257.17</v>
    <v>1174728000</v>
    <v>PYPL</v>
    <v>PAYPAL HOLDINGS, INC. (XNAS:PYPL)</v>
    <v>27235</v>
    <v>7370235</v>
    <v>2015</v>
  </rv>
  <rv s="4">
    <v>406</v>
  </rv>
  <rv s="0">
    <v>https://www.bing.com/financeapi/forcetrigger?t=brfjjc&amp;q=XNAS%3aPTON&amp;form=skydnc</v>
    <v>Learn more on Bing</v>
  </rv>
  <rv s="11">
    <v>en-US</v>
    <v>brfjjc</v>
    <v>268435456</v>
    <v>1</v>
    <v>0</v>
    <v>Powered by Refinitiv</v>
    <v>19</v>
    <v>PELOTON INTERACTIVE, INC. (XNAS:PTON)</v>
    <v>8</v>
    <v>20</v>
    <v>Finance</v>
    <v>5</v>
    <v>171.09</v>
    <v>38.799999999999997</v>
    <v>0.26</v>
    <v>2.5769999999999999E-3</v>
    <v>USD</v>
    <v>Peloton Interactive, Inc. is a provider of interactive fitness platform. The Company provides connected, technology-enabled fitness and the streaming of instructor-led boutique classes to its members. The Company operates and manages its business in three reportable segments: connected fitness product segment, subscription segment, and other segment. Its connected fitness product segment consists of its Bike and Tread and related accessories. Its other segment consists of Peloton branded apparels.</v>
    <v>3281</v>
    <v>Nasdaq Stock Market</v>
    <v>XNAS</v>
    <v>XNAS</v>
    <v>C/O Peloton Interactive, Inc., 125 W. 25Th St., 11Th Floor, NEW YORK, NY, 10001 US</v>
    <v>102.11</v>
    <v>Leisure Products</v>
    <v>Stock</v>
    <v>44340.999595022658</v>
    <v>408</v>
    <v>98.12</v>
    <v>30175350228</v>
    <v>PELOTON INTERACTIVE, INC.</v>
    <v>PELOTON INTERACTIVE, INC.</v>
    <v>101.72</v>
    <v>151.10230000000001</v>
    <v>100.9</v>
    <v>101.16</v>
    <v>298293300</v>
    <v>PTON</v>
    <v>PELOTON INTERACTIVE, INC. (XNAS:PTON)</v>
    <v>25669</v>
    <v>21076535</v>
    <v>2015</v>
  </rv>
  <rv s="4">
    <v>409</v>
  </rv>
  <rv s="0">
    <v>http://en.wikipedia.org/wiki/PepsiCo</v>
    <v>Wikipedia</v>
  </rv>
  <rv s="1">
    <v>0</v>
    <v>411</v>
  </rv>
  <rv s="2">
    <v>6</v>
    <v>https://www.bing.com/th?id=AMMS_b609f0b7b253531319b15d4050598c3a&amp;qlt=95</v>
    <v>412</v>
    <v>0</v>
    <v>https://www.bing.com/images/search?form=xlimg&amp;q=pepsico</v>
    <v>Image of PEPSICO, INC.</v>
  </rv>
  <rv s="0">
    <v>https://www.bing.com/financeapi/forcetrigger?t=axyhnm&amp;q=XNAS%3aPEP&amp;form=skydnc</v>
    <v>Learn more on Bing</v>
  </rv>
  <rv s="3">
    <v>en-US</v>
    <v>axyhnm</v>
    <v>268435456</v>
    <v>1</v>
    <v>0</v>
    <v>Powered by Refinitiv</v>
    <v>0</v>
    <v>PEPSICO, INC. (XNAS:PEP)</v>
    <v>3</v>
    <v>4</v>
    <v>Finance</v>
    <v>5</v>
    <v>148.77000000000001</v>
    <v>126.53</v>
    <v>0.61019999999999996</v>
    <v>0.75</v>
    <v>5.0990000000000002E-3</v>
    <v>USD</v>
    <v>PepsiCo, Inc. is a global food and beverage company. The Company's portfolio of brands includes Frito-Lay, Gatorade, Pepsi-Cola, Quaker and Tropicana. The Company operates through six segments: Frito-Lay North America (FLNA), Quaker Foods North America (QFNA), North America Beverages (NAB), Latin America, Europe Sub-Saharan Africa (ESSA), and Asia, Middle East and North Africa (AMENA). The FLNA segment includes its branded food and snack businesses in the United States and Canada. The QFNA segment includes its cereal, rice, pasta and other branded food businesses in the United States and Canada. The NAB segment includes its beverage businesses in the United States and Canada. The Latin America segment includes its beverage, food and snack businesses in Latin America. The ESSA segment includes its beverage, food and snack businesses in Europe and Sub-Saharan Africa. The AMENA segment includes its beverage, food and snack businesses in Asia, Middle East and North Africa.</v>
    <v>291000</v>
    <v>Nasdaq Stock Market</v>
    <v>XNAS</v>
    <v>XNAS</v>
    <v>700 ANDERSON HILL RD, PURCHASE, NY, 10577-1401 US</v>
    <v>148.35</v>
    <v>413</v>
    <v>Beverages</v>
    <v>Stock</v>
    <v>44340.915786863283</v>
    <v>414</v>
    <v>147.01</v>
    <v>203238000000</v>
    <v>PEPSICO, INC.</v>
    <v>PEPSICO, INC.</v>
    <v>147.63999999999999</v>
    <v>27.419</v>
    <v>147.1</v>
    <v>147.85</v>
    <v>1381631000</v>
    <v>PEP</v>
    <v>PEPSICO, INC. (XNAS:PEP)</v>
    <v>695</v>
    <v>4929191</v>
    <v>1986</v>
  </rv>
  <rv s="4">
    <v>415</v>
  </rv>
  <rv s="0">
    <v>https://www.bing.com/financeapi/forcetrigger?t=bjojk2&amp;q=XNAS%3aPDD&amp;form=skydnc</v>
    <v>Learn more on Bing</v>
  </rv>
  <rv s="12">
    <v>en-US</v>
    <v>bjojk2</v>
    <v>268435456</v>
    <v>1</v>
    <v>0</v>
    <v>Powered by Refinitiv</v>
    <v>21</v>
    <v>PINDUODUO INC. (XNAS:PDD)</v>
    <v>8</v>
    <v>22</v>
    <v>Finance</v>
    <v>5</v>
    <v>212.59649999999999</v>
    <v>59.56</v>
    <v>1.1200000000000001</v>
    <v>8.6629999999999988E-3</v>
    <v>USD</v>
    <v>Pinduoduo Inc. is an e-commerce platform operator. It offers Pinduoduo, a mobile e-commerce platform. The Company’s platform provides value-for-money merchandise and interactive shopping options. The platform is built to resemble a virtual bazaar of a broad spectrum of products. It offers both individual and team purchase options. It offers a suite of product categories that include apparel, shoes, bags, childcare products, food and beverage, fresh produce, electronic appliances, furniture, household goods, cosmetics, sports and fitness goods, and auto accessories. The platform provides a range of online payment options that include Weixin Pay, QQ Wallet, Alipay and Apple Pay.</v>
    <v>7986</v>
    <v>Nasdaq Stock Market</v>
    <v>XNAS</v>
    <v>XNAS</v>
    <v>28F, No. 533 Loushanguan Road, Changning District, SHANGHAI, SHANGHAI, 200051 CN</v>
    <v>131.79</v>
    <v>Software &amp; IT Services</v>
    <v>Stock</v>
    <v>44340.999733286721</v>
    <v>417</v>
    <v>128.69999999999999</v>
    <v>163441418490</v>
    <v>PINDUODUO INC.</v>
    <v>PINDUODUO INC.</v>
    <v>130.71</v>
    <v>129.29</v>
    <v>130.41</v>
    <v>1253289000</v>
    <v>PDD</v>
    <v>PINDUODUO INC. (XNAS:PDD)</v>
    <v>68148</v>
    <v>5441111</v>
    <v>2015</v>
  </rv>
  <rv s="4">
    <v>418</v>
  </rv>
  <rv s="0">
    <v>http://en.wikipedia.org/wiki/Qualcomm</v>
    <v>Wikipedia</v>
  </rv>
  <rv s="1">
    <v>0</v>
    <v>420</v>
  </rv>
  <rv s="2">
    <v>6</v>
    <v>https://www.bing.com/th?id=AMMS_2b1c176dae370ecc0d55a1517537f595&amp;qlt=95</v>
    <v>421</v>
    <v>0</v>
    <v>https://www.bing.com/images/search?form=xlimg&amp;q=qualcomm</v>
    <v>Image of QUALCOMM INCORPORATED</v>
  </rv>
  <rv s="0">
    <v>https://www.bing.com/financeapi/forcetrigger?t=a21k2w&amp;q=XNAS%3aQCOM&amp;form=skydnc</v>
    <v>Learn more on Bing</v>
  </rv>
  <rv s="3">
    <v>en-US</v>
    <v>a21k2w</v>
    <v>268435456</v>
    <v>1</v>
    <v>0</v>
    <v>Powered by Refinitiv</v>
    <v>0</v>
    <v>QUALCOMM INCORPORATED (XNAS:QCOM)</v>
    <v>3</v>
    <v>4</v>
    <v>Finance</v>
    <v>5</v>
    <v>167.94</v>
    <v>76.16</v>
    <v>1.3433999999999999</v>
    <v>1.45</v>
    <v>1.103E-2</v>
    <v>USD</v>
    <v>Qualcomm Incorporated is a wireless technology company. The Company is engaged in the development, launch and expansion of technologies like fifth-generation (5G). The Company operates through three segments: QCT (Qualcomm CDMA Technologies) segment, QTL (Qualcomm Technology Licensing) segment and QSI (Qualcomm Strategic Initiatives) segment. It is specialized in offering third-generation (3G), fourth-generation (4G) wireless technologies and 5G wireless technologies. Its offered technologies and products are used in mobile devices and other wireless products, including network equipment, broadband gateway equipment, consumer electronic devices and other connected devices. Its technologies and products are also used in industry segments and applications beyond mobile, including automotive, computing, Internet of Things (IoT) and networking.</v>
    <v>41000</v>
    <v>Nasdaq Stock Market</v>
    <v>XNAS</v>
    <v>XNAS</v>
    <v>5775 Morehouse Dr, SAN DIEGO, CA, 92121-1714 US</v>
    <v>134</v>
    <v>422</v>
    <v>Semiconductors &amp; Semiconductor Equipment</v>
    <v>Stock</v>
    <v>44340.995562546093</v>
    <v>423</v>
    <v>131.33000000000001</v>
    <v>149922480000</v>
    <v>QUALCOMM INCORPORATED</v>
    <v>QUALCOMM INCORPORATED</v>
    <v>131.33000000000001</v>
    <v>19.043399999999998</v>
    <v>131.46</v>
    <v>132.91</v>
    <v>1128000000</v>
    <v>QCOM</v>
    <v>QUALCOMM INCORPORATED (XNAS:QCOM)</v>
    <v>19468</v>
    <v>10000118</v>
    <v>1991</v>
  </rv>
  <rv s="4">
    <v>424</v>
  </rv>
  <rv s="0">
    <v>http://en.wikipedia.org/wiki/Regeneron_Pharmaceuticals</v>
    <v>Wikipedia</v>
  </rv>
  <rv s="1">
    <v>0</v>
    <v>426</v>
  </rv>
  <rv s="2">
    <v>6</v>
    <v>https://www.bing.com/th?id=AMMS_01634d19e512cdcf927616436a480e4a&amp;qlt=95</v>
    <v>427</v>
    <v>0</v>
    <v>https://www.bing.com/images/search?form=xlimg&amp;q=regeneron</v>
    <v>Image of REGENERON PHARMACEUTICALS, INC.</v>
  </rv>
  <rv s="0">
    <v>https://www.bing.com/financeapi/forcetrigger?t=a21uim&amp;q=XNAS%3aREGN&amp;form=skydnc</v>
    <v>Learn more on Bing</v>
  </rv>
  <rv s="3">
    <v>en-US</v>
    <v>a21uim</v>
    <v>268435456</v>
    <v>1</v>
    <v>0</v>
    <v>Powered by Refinitiv</v>
    <v>0</v>
    <v>REGENERON PHARMACEUTICALS, INC. (XNAS:REGN)</v>
    <v>3</v>
    <v>4</v>
    <v>Finance</v>
    <v>5</v>
    <v>664.64</v>
    <v>441</v>
    <v>0.19059999999999999</v>
    <v>-6.25</v>
    <v>-1.2334000000000001E-2</v>
    <v>USD</v>
    <v>Regeneron Pharmaceuticals, Inc. is a biopharmaceutical company that discovers, invents, develops, manufactures and commercializes medicines for the treatment of serious medical conditions. The Company commercializes medicines for eye diseases, high low-density lipoprotein (LDL) cholesterol, and an inflammatory condition and have product candidates in development in other areas, including rheumatoid arthritis, asthma, atopic dermatitis, pain, cancer, and infectious diseases. The Company's marketed products include EYLEA (aflibercept) Injection, Praluent (alirocumab) Injection, ARCALYST (rilonacept) Injection for Subcutaneous Use, Kevzara (sarilumab) Solution for Subcutaneous Injection and ZALTRAP (ziv-aflibercept) Injection for Intravenous Infusion. As of December 31, 2016, the Company had 16 product candidates in clinical development, which consisted of a Trap-based clinical program and 15 fully human monoclonal antibody product candidates.</v>
    <v>9123</v>
    <v>Nasdaq Stock Market</v>
    <v>XNAS</v>
    <v>XNAS</v>
    <v>777 Old Saw Mill River Rd, TARRYTOWN, NY, 10591-6717 US</v>
    <v>509.74</v>
    <v>428</v>
    <v>Biotechnology &amp; Medical Research</v>
    <v>Stock</v>
    <v>44340.994095578128</v>
    <v>429</v>
    <v>500.08</v>
    <v>53311665904</v>
    <v>REGENERON PHARMACEUTICALS, INC.</v>
    <v>REGENERON PHARMACEUTICALS, INC.</v>
    <v>509.74</v>
    <v>14.1593</v>
    <v>506.72</v>
    <v>500.47</v>
    <v>106523200</v>
    <v>REGN</v>
    <v>REGENERON PHARMACEUTICALS, INC. (XNAS:REGN)</v>
    <v>315</v>
    <v>776168</v>
    <v>1988</v>
  </rv>
  <rv s="4">
    <v>430</v>
  </rv>
  <rv s="0">
    <v>http://de.wikipedia.org/wiki/Ross_Stores_Inc.</v>
    <v>Wikipedia</v>
  </rv>
  <rv s="1">
    <v>0</v>
    <v>432</v>
  </rv>
  <rv s="2">
    <v>6</v>
    <v>https://www.bing.com/th?id=AMMS_964179d9bb9cf45513888bcc8b61c67f&amp;qlt=95</v>
    <v>433</v>
    <v>0</v>
    <v>https://www.bing.com/images/search?form=xlimg&amp;q=ross+stores</v>
    <v>Image of ROSS STORES, INC.</v>
  </rv>
  <rv s="0">
    <v>https://www.bing.com/financeapi/forcetrigger?t=a227lh&amp;q=XNAS%3aROST&amp;form=skydnc</v>
    <v>Learn more on Bing</v>
  </rv>
  <rv s="3">
    <v>en-US</v>
    <v>a227lh</v>
    <v>268435456</v>
    <v>1</v>
    <v>0</v>
    <v>Powered by Refinitiv</v>
    <v>0</v>
    <v>ROSS STORES, INC. (XNAS:ROST)</v>
    <v>3</v>
    <v>4</v>
    <v>Finance</v>
    <v>5</v>
    <v>134.215</v>
    <v>79.650000000000006</v>
    <v>1.0435000000000001</v>
    <v>0.26</v>
    <v>2.1099999999999999E-3</v>
    <v>USD</v>
    <v>Ross Stores, Inc. and its subsidiaries operate two brands of off-price retail apparel and home fashion stores-Ross Dress for Less (Ross) and dd's DISCOUNTS. The Company is the off-price apparel and home fashion chain in the United States, with 1,340 locations in 36 states, the District of Columbia and Guam, as of January 28, 2017. The Company offers in-season, name brand and designer apparel, accessories, footwear, and home fashions for the entire family at savings of 20% to 60% off department and specialty store regular prices every day. The Company also operated 193 dd's DISCOUNTS stores in 15 states as of January 28, 2017. As of January 28, 2017, the Company operated a total of 1,533 stores consisted of 1,340 Ross stores and 193 dd's DISCOUNTS stores. As of January 28, 2017, the Company owned and operated six distribution processing facilities-three in California, one in Pennsylvania, and two in South Carolina.</v>
    <v>93700</v>
    <v>Nasdaq Stock Market</v>
    <v>XNAS</v>
    <v>XNAS</v>
    <v>5130 Hacienda Dr, DUBLIN, CA, 94568-7579 US</v>
    <v>124.59</v>
    <v>434</v>
    <v>Specialty Retailers</v>
    <v>Stock</v>
    <v>44340.874899756251</v>
    <v>435</v>
    <v>122.99</v>
    <v>44045086365</v>
    <v>ROSS STORES, INC.</v>
    <v>ROSS STORES, INC.</v>
    <v>123.9</v>
    <v>50.796399999999998</v>
    <v>123.25</v>
    <v>123.51</v>
    <v>356611500</v>
    <v>ROST</v>
    <v>ROSS STORES, INC. (XNAS:ROST)</v>
    <v>966</v>
    <v>1875116</v>
    <v>1989</v>
  </rv>
  <rv s="4">
    <v>436</v>
  </rv>
  <rv s="0">
    <v>https://www.bing.com/financeapi/forcetrigger?t=a22u7w&amp;q=XNAS%3aSGEN&amp;form=skydnc</v>
    <v>Learn more on Bing</v>
  </rv>
  <rv s="5">
    <v>en-US</v>
    <v>a22u7w</v>
    <v>268435456</v>
    <v>1</v>
    <v>0</v>
    <v>Powered by Refinitiv</v>
    <v>7</v>
    <v>SEAGEN INC. (XNAS:SGEN)</v>
    <v>8</v>
    <v>9</v>
    <v>Finance</v>
    <v>5</v>
    <v>213.94</v>
    <v>133.19999999999999</v>
    <v>0.86099999999999999</v>
    <v>0.33</v>
    <v>2.1519999999999998E-3</v>
    <v>USD</v>
    <v>Seagen Inc., formerly Seattle Genetics, Inc., is a biotechnology company focused on the development and commercialization of therapies for the treatment of cancer. The Company is engaged in the development and sale of pharmaceutical products on its own behalf or in collaboration with others. The Company is commercializing ADCETRIS or brentuximab vedotin, for the treatment of certain CD30-expressing lymphomas; PADCEV or enfortumab vedotin-ejfv, for the treatment of certain metastatic urothelial cancers, and TUKYSA or tucatinib, for treatment of certain metastatic human epidermal growth factor receptor 2 (HER2)-positive breast cancers. The Company is also developing a pipeline of therapies for solid tumors and blood-related cancers designed to address unmet medical needs. Its pipeline includes ladiratuzumab vedotin, an antibody-drug conjugate (ADC) targeting LIV-1.</v>
    <v>2092</v>
    <v>Nasdaq Stock Market</v>
    <v>XNAS</v>
    <v>XNAS</v>
    <v>21823 30th Dr SE, BOTHELL, WA, 98021-3907 US</v>
    <v>155.85</v>
    <v>Biotechnology &amp; Medical Research</v>
    <v>Stock</v>
    <v>44340.967359628907</v>
    <v>438</v>
    <v>152.52000000000001</v>
    <v>27887585956</v>
    <v>SEAGEN INC.</v>
    <v>SEAGEN INC.</v>
    <v>154.93</v>
    <v>42.661499999999997</v>
    <v>153.34</v>
    <v>153.66999999999999</v>
    <v>181477100</v>
    <v>SGEN</v>
    <v>SEAGEN INC. (XNAS:SGEN)</v>
    <v>814998</v>
    <v>947351</v>
    <v>1997</v>
  </rv>
  <rv s="4">
    <v>439</v>
  </rv>
  <rv s="0">
    <v>http://en.wikipedia.org/wiki/Sirius_XM</v>
    <v>Wikipedia</v>
  </rv>
  <rv s="1">
    <v>0</v>
    <v>441</v>
  </rv>
  <rv s="2">
    <v>6</v>
    <v>https://www.bing.com/th?id=AMMS_686e0be3fc59da1455b87f35b5774c90&amp;qlt=95</v>
    <v>442</v>
    <v>0</v>
    <v>https://www.bing.com/images/search?form=xlimg&amp;q=sirius+xm</v>
    <v>Image of SIRIUS XM HOLDINGS INC.</v>
  </rv>
  <rv s="0">
    <v>https://www.bing.com/financeapi/forcetrigger?t=a22zcw&amp;q=XNAS%3aSIRI&amp;form=skydnc</v>
    <v>Learn more on Bing</v>
  </rv>
  <rv s="3">
    <v>en-US</v>
    <v>a22zcw</v>
    <v>268435456</v>
    <v>1</v>
    <v>0</v>
    <v>Powered by Refinitiv</v>
    <v>0</v>
    <v>SIRIUS XM HOLDINGS INC. (XNAS:SIRI)</v>
    <v>3</v>
    <v>4</v>
    <v>Finance</v>
    <v>12</v>
    <v>8.14</v>
    <v>4.95</v>
    <v>1.0868</v>
    <v>0.19</v>
    <v>3.1932999999999996E-2</v>
    <v>USD</v>
    <v>Sirius XM Holdings Inc. transmits music, sports, entertainment, comedy, talk, news, traffic and weather channels, as well as infotainment services, in the United States on a subscription fee basis through its two satellite radio systems. Subscribers can also receive music and other channels, and features, such as SiriusXM On Demand and MySXM, over its Internet radio service, including through applications for mobile devices, home devices and other consumer electronic equipment. It also provides connected vehicle services. It is developing a product, 360L, which combines its satellite and Internet services into a single, cohesive in-vehicle entertainment experience. It also offers satellite radio services to customers of certain rental car companies. Its Internet radio service also includes channels and features that are not available on its satellite radio service. As of December 31, 2016, the Company owned a fleet of five satellites: SIRIUS FM-5, SIRIUS FM-6, XM-3, XM-4 and XM-5.</v>
    <v>5726</v>
    <v>Nasdaq Stock Market</v>
    <v>XNAS</v>
    <v>XNAS</v>
    <v>1290 Avenue of the Americas Fl 11, NEW YORK, NY, 10104-0051 US</v>
    <v>6.1749999999999998</v>
    <v>443</v>
    <v>Media &amp; Publishing</v>
    <v>Stock</v>
    <v>44340.997306272657</v>
    <v>444</v>
    <v>5.97</v>
    <v>25117303240</v>
    <v>SIRIUS XM HOLDINGS INC.</v>
    <v>SIRIUS XM HOLDINGS INC.</v>
    <v>6.05</v>
    <v>689.11339999999996</v>
    <v>5.95</v>
    <v>6.14</v>
    <v>4090766000</v>
    <v>SIRI</v>
    <v>SIRIUS XM HOLDINGS INC. (XNAS:SIRI)</v>
    <v>16732</v>
    <v>20338415</v>
    <v>2013</v>
  </rv>
  <rv s="4">
    <v>445</v>
  </rv>
  <rv s="0">
    <v>https://www.bing.com/financeapi/forcetrigger?t=a23tz2&amp;q=XNAS%3aSWKS&amp;form=skydnc</v>
    <v>Learn more on Bing</v>
  </rv>
  <rv s="5">
    <v>en-US</v>
    <v>a23tz2</v>
    <v>268435456</v>
    <v>1</v>
    <v>0</v>
    <v>Powered by Refinitiv</v>
    <v>7</v>
    <v>SKYWORKS SOLUTIONS, INC. (XNAS:SWKS)</v>
    <v>8</v>
    <v>9</v>
    <v>Finance</v>
    <v>5</v>
    <v>204</v>
    <v>114.59</v>
    <v>1.0769</v>
    <v>2.1800000000000002</v>
    <v>1.3077E-2</v>
    <v>USD</v>
    <v>Skyworks Solutions Inc. designs, develops, manufactures and markets semiconductor products, including intellectual property. The Company's analog semiconductors are connecting people, places, and things, spanning a number of new and unimagined applications within the automotive, broadband, cellular infrastructure, connected home, industrial, medical, military, smartphone, tablet and wearable markets. Its geographical segments include the United States, Other Americas, China, Taiwan, South Korea, Other Asia-Pacific, Europe, Middle East and Africa. It operates throughout the world with engineering, manufacturing, sales and service facilities throughout Asia, Europe and North America. It is engaged with key original equipment manufacturers (OEM), smartphone providers and baseband reference design partners. Its product portfolio consists of various solutions, including amplifiers, attenuators, detectors, diodes, filters, front-end modules, hybrid, mixers, switches, and modulators.</v>
    <v>10000</v>
    <v>Nasdaq Stock Market</v>
    <v>XNAS</v>
    <v>XNAS</v>
    <v>5260 CALIFORNIA AVENUE, IRVINE, CA, 92617 US</v>
    <v>170.17</v>
    <v>Semiconductors &amp; Semiconductor Equipment</v>
    <v>Stock</v>
    <v>44340.999840474222</v>
    <v>447</v>
    <v>166.87</v>
    <v>27520930000</v>
    <v>SKYWORKS SOLUTIONS, INC.</v>
    <v>SKYWORKS SOLUTIONS, INC.</v>
    <v>168.17</v>
    <v>23.331199999999999</v>
    <v>166.7</v>
    <v>168.88</v>
    <v>165092500</v>
    <v>SWKS</v>
    <v>SKYWORKS SOLUTIONS, INC. (XNAS:SWKS)</v>
    <v>2548</v>
    <v>2310860</v>
    <v>2002</v>
  </rv>
  <rv s="4">
    <v>448</v>
  </rv>
  <rv s="0">
    <v>https://www.bing.com/financeapi/forcetrigger?t=a23eec&amp;q=XNAS%3aSPLK&amp;form=skydnc</v>
    <v>Learn more on Bing</v>
  </rv>
  <rv s="13">
    <v>en-US</v>
    <v>a23eec</v>
    <v>268435456</v>
    <v>1</v>
    <v>0</v>
    <v>Powered by Refinitiv</v>
    <v>23</v>
    <v>SPLUNK INC. (XNAS:SPLK)</v>
    <v>8</v>
    <v>24</v>
    <v>Finance</v>
    <v>5</v>
    <v>225.89439999999999</v>
    <v>110.28</v>
    <v>1.2399</v>
    <v>1.64</v>
    <v>1.3892E-2</v>
    <v>USD</v>
    <v>Splunk Inc. (Splunk) is engaged in the development and marketing of software solutions. The Company's offerings enable users to collect, index, search, explore, monitor and analyze data. Its offerings address diverse data sets that are referred to as big data and are specifically used for machine data. Machine data is produced by various software application and electronic devices in an organization and contains a definitive, time-stamped record of various activities, such as transactions, customer and user activities and security threats. Its products help users in various roles, including information technology (IT), security and business professionals, to analyze their machine data and achieve real-time visibility into and intelligence about their organization's operations. In addition, the Company offers user behavioral analytics to help detect, respond to and mitigate advanced, hidden and insider threats. The Company offers Splunk Enterprise, which is a machine data platform.</v>
    <v>6500</v>
    <v>Nasdaq Stock Market</v>
    <v>XNAS</v>
    <v>XNAS</v>
    <v>270 Brannan St, SAN FRANCISCO, CA, 94107-2007 US</v>
    <v>121.325</v>
    <v>Software &amp; IT Services</v>
    <v>Stock</v>
    <v>44340.98670273125</v>
    <v>450</v>
    <v>118.6</v>
    <v>19617514163</v>
    <v>SPLUNK INC.</v>
    <v>SPLUNK INC.</v>
    <v>118.875</v>
    <v>118.05</v>
    <v>119.69</v>
    <v>163902700</v>
    <v>SPLK</v>
    <v>SPLUNK INC. (XNAS:SPLK)</v>
    <v>10599</v>
    <v>2185569</v>
    <v>2006</v>
  </rv>
  <rv s="4">
    <v>451</v>
  </rv>
  <rv s="0">
    <v>https://www.bing.com/financeapi/forcetrigger?t=a22k9c&amp;q=XNAS%3aSBUX&amp;form=skydnc</v>
    <v>Learn more on Bing</v>
  </rv>
  <rv s="5">
    <v>en-US</v>
    <v>a22k9c</v>
    <v>268435456</v>
    <v>1</v>
    <v>0</v>
    <v>Powered by Refinitiv</v>
    <v>7</v>
    <v>STARBUCKS CORPORATION (XNAS:SBUX)</v>
    <v>8</v>
    <v>9</v>
    <v>Finance</v>
    <v>5</v>
    <v>118.98</v>
    <v>71.06</v>
    <v>0.87660000000000005</v>
    <v>1.6</v>
    <v>1.4424999999999999E-2</v>
    <v>USD</v>
    <v>Starbucks Corp is a coffee roaster and retailer of specialty coffee with operations in approximately 82 markets around the world. The Company has over 32,000 Company-operated and licensed stores. It operates through three segments: Americas, International and Channel Development. It also sells a variety of coffee and tea products and license its trademarks through other channels, such as licensed stores, grocery and foodservice. It purchases and roasts coffees that it sells, along with handcrafted coffee, tea and other beverages and a variety of food items through Company-operated stores. In addition to its flagship Starbucks Coffee brand, it sells goods and services under various brands, including Teavana, Seattle’s Best Coffee, Evolution Fresh, Ethos, Starbucks Reserve and Princi.</v>
    <v>349000</v>
    <v>Nasdaq Stock Market</v>
    <v>XNAS</v>
    <v>XNAS</v>
    <v>2401 Utah Ave S, SEATTLE, WA, 98134-1436 US</v>
    <v>113.03</v>
    <v>Hotels &amp; Entertainment Services</v>
    <v>Stock</v>
    <v>44340.999781909377</v>
    <v>453</v>
    <v>111.52</v>
    <v>132582316000</v>
    <v>STARBUCKS CORPORATION</v>
    <v>STARBUCKS CORPORATION</v>
    <v>111.798</v>
    <v>134.7706</v>
    <v>110.92</v>
    <v>112.52</v>
    <v>1178300000</v>
    <v>SBUX</v>
    <v>STARBUCKS CORPORATION (XNAS:SBUX)</v>
    <v>6062</v>
    <v>6267713</v>
    <v>1985</v>
  </rv>
  <rv s="4">
    <v>454</v>
  </rv>
  <rv s="0">
    <v>http://en.wikipedia.org/wiki/Synopsys</v>
    <v>Wikipedia</v>
  </rv>
  <rv s="1">
    <v>0</v>
    <v>456</v>
  </rv>
  <rv s="2">
    <v>6</v>
    <v>https://www.bing.com/th?id=AMMS_5227de8dec8c796bf211bf599a884796&amp;qlt=95</v>
    <v>457</v>
    <v>0</v>
    <v>https://www.bing.com/images/search?form=xlimg&amp;q=synopsys</v>
    <v>Image of SYNOPSYS, INC.</v>
  </rv>
  <rv s="0">
    <v>https://www.bing.com/financeapi/forcetrigger?t=a239hw&amp;q=XNAS%3aSNPS&amp;form=skydnc</v>
    <v>Learn more on Bing</v>
  </rv>
  <rv s="3">
    <v>en-US</v>
    <v>a239hw</v>
    <v>268435456</v>
    <v>1</v>
    <v>0</v>
    <v>Powered by Refinitiv</v>
    <v>0</v>
    <v>SYNOPSYS, INC. (XNAS:SNPS)</v>
    <v>3</v>
    <v>4</v>
    <v>Finance</v>
    <v>5</v>
    <v>300.91000000000003</v>
    <v>163</v>
    <v>1.0363</v>
    <v>6.58</v>
    <v>2.7189999999999999E-2</v>
    <v>USD</v>
    <v>Synopsys, Inc. provides software products and services. The Company supplies the electronic design automation (EDA) software that engineers use to design and test integrated circuits (ICs), also known as chips. The Company also offer semiconductor intellectual property (IP) products, which are pre-designed circuits that engineers use as components of chip designs rather than designing those circuits themselves. It provides software and hardware used to develop the electronic systems that incorporate chips and the software that runs on them. It provides technical services and support to help its customers develop advanced chips and electronic systems. It is also a provider of software tools and services electronics, financial services, automotive, medicine, energy and industrials.</v>
    <v>15036</v>
    <v>Nasdaq Stock Market</v>
    <v>XNAS</v>
    <v>XNAS</v>
    <v>690 E Middlefield Rd, MOUNTAIN VIEW, CA, 94043-4010 US</v>
    <v>249.58</v>
    <v>458</v>
    <v>Software &amp; IT Services</v>
    <v>Stock</v>
    <v>44340.957113633594</v>
    <v>459</v>
    <v>244</v>
    <v>36874300000</v>
    <v>SYNOPSYS, INC.</v>
    <v>SYNOPSYS, INC.</v>
    <v>245</v>
    <v>48.281700000000001</v>
    <v>242</v>
    <v>248.58</v>
    <v>152574900</v>
    <v>SNPS</v>
    <v>SYNOPSYS, INC. (XNAS:SNPS)</v>
    <v>709</v>
    <v>920597</v>
    <v>1987</v>
  </rv>
  <rv s="4">
    <v>460</v>
  </rv>
  <rv s="0">
    <v>http://en.wikipedia.org/wiki/T-Mobile_US</v>
    <v>Wikipedia</v>
  </rv>
  <rv s="1">
    <v>0</v>
    <v>462</v>
  </rv>
  <rv s="2">
    <v>6</v>
    <v>https://www.bing.com/th?id=AMMS_e97a04e6b1c0975ce92ab55e5d015e16&amp;qlt=95</v>
    <v>463</v>
    <v>0</v>
    <v>https://www.bing.com/images/search?form=xlimg&amp;q=t-mobile+us</v>
    <v>Image of T-MOBILE US, INC.</v>
  </rv>
  <rv s="0">
    <v>https://www.bing.com/financeapi/forcetrigger?t=a24c52&amp;q=XNAS%3aTMUS&amp;form=skydnc</v>
    <v>Learn more on Bing</v>
  </rv>
  <rv s="3">
    <v>en-US</v>
    <v>a24c52</v>
    <v>268435456</v>
    <v>1</v>
    <v>0</v>
    <v>Powered by Refinitiv</v>
    <v>0</v>
    <v>T-MOBILE US, INC. (XNAS:TMUS)</v>
    <v>3</v>
    <v>4</v>
    <v>Finance</v>
    <v>5</v>
    <v>143.09</v>
    <v>94.46</v>
    <v>0.5736</v>
    <v>1.68</v>
    <v>1.2348E-2</v>
    <v>USD</v>
    <v>T-Mobile US, Inc. is a wireless company. The Company provide wireless services to postpaid, prepaid and wholesale customers and generate revenue by providing affordable wireless communications services to these customers, as well as a wide selection of wireless devices and accessories. It provides service, devices and accessories across its flagship brands, T-Mobile, Metro by T-Mobile and Sprint, through its owned and operated retail stores, as well as through its websites, T-Mobile app and customer care channels. In addition, the Company sells devices to dealers and other third-party distributors for resale through independent third-party retail outlets and a variety of third-party websites.</v>
    <v>75000</v>
    <v>Nasdaq Stock Market</v>
    <v>XNAS</v>
    <v>XNAS</v>
    <v>12920 SE 38th St, BELLEVUE, WA, 98006-1350 US</v>
    <v>138.41</v>
    <v>464</v>
    <v>Telecommunications Services</v>
    <v>Stock</v>
    <v>44340.997244733597</v>
    <v>465</v>
    <v>136.19450000000001</v>
    <v>171729752340</v>
    <v>T-MOBILE US, INC.</v>
    <v>T-MOBILE US, INC.</v>
    <v>136.6</v>
    <v>63.292400000000001</v>
    <v>136.05000000000001</v>
    <v>137.72999999999999</v>
    <v>1246858000</v>
    <v>TMUS</v>
    <v>T-MOBILE US, INC. (XNAS:TMUS)</v>
    <v>2348</v>
    <v>4582860</v>
    <v>2004</v>
  </rv>
  <rv s="4">
    <v>466</v>
  </rv>
  <rv s="0">
    <v>http://en.wikipedia.org/wiki/Tesla,_Inc.</v>
    <v>Wikipedia</v>
  </rv>
  <rv s="1">
    <v>0</v>
    <v>468</v>
  </rv>
  <rv s="2">
    <v>6</v>
    <v>https://www.bing.com/th?id=AMMS_8e31d52bb9ea27bdda26200517d4b1d1&amp;qlt=95</v>
    <v>469</v>
    <v>0</v>
    <v>https://www.bing.com/images/search?form=xlimg&amp;q=tesla+motors</v>
    <v>Image of TESLA, INC.</v>
  </rv>
  <rv s="0">
    <v>https://www.bing.com/financeapi/forcetrigger?t=a24kar&amp;q=XNAS%3aTSLA&amp;form=skydnc</v>
    <v>Learn more on Bing</v>
  </rv>
  <rv s="3">
    <v>en-US</v>
    <v>a24kar</v>
    <v>268435456</v>
    <v>1</v>
    <v>0</v>
    <v>Powered by Refinitiv</v>
    <v>0</v>
    <v>TESLA, INC. (XNAS:TSLA)</v>
    <v>3</v>
    <v>4</v>
    <v>Finance</v>
    <v>5</v>
    <v>900.4</v>
    <v>157</v>
    <v>1.9998</v>
    <v>25.56</v>
    <v>4.4001999999999999E-2</v>
    <v>USD</v>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v>70757</v>
    <v>Nasdaq Stock Market</v>
    <v>XNAS</v>
    <v>XNAS</v>
    <v>3500 Deer Creek Rd, PALO ALTO, CA, 94304-1317 US</v>
    <v>614.48</v>
    <v>470</v>
    <v>Automobiles &amp; Auto Parts</v>
    <v>Stock</v>
    <v>44340.99998438594</v>
    <v>471</v>
    <v>573.65</v>
    <v>584202087776</v>
    <v>TESLA, INC.</v>
    <v>TESLA, INC.</v>
    <v>581.6</v>
    <v>611.13099999999997</v>
    <v>580.88</v>
    <v>606.44000000000005</v>
    <v>963330400</v>
    <v>TSLA</v>
    <v>TESLA, INC. (XNAS:TSLA)</v>
    <v>415703</v>
    <v>32104097</v>
    <v>2003</v>
  </rv>
  <rv s="4">
    <v>472</v>
  </rv>
  <rv s="0">
    <v>http://en.wikipedia.org/wiki/Texas_Instruments</v>
    <v>Wikipedia</v>
  </rv>
  <rv s="1">
    <v>0</v>
    <v>474</v>
  </rv>
  <rv s="2">
    <v>6</v>
    <v>https://www.bing.com/th?id=AMMS_f9177144b1334310e4aaa8bd125535fd&amp;qlt=95</v>
    <v>475</v>
    <v>0</v>
    <v>https://www.bing.com/images/search?form=xlimg&amp;q=texas+instruments</v>
    <v>Image of TEXAS INSTRUMENTS INCORPORATED</v>
  </rv>
  <rv s="0">
    <v>https://www.bing.com/financeapi/forcetrigger?t=a24p1h&amp;q=XNAS%3aTXN&amp;form=skydnc</v>
    <v>Learn more on Bing</v>
  </rv>
  <rv s="3">
    <v>en-US</v>
    <v>a24p1h</v>
    <v>268435456</v>
    <v>1</v>
    <v>0</v>
    <v>Powered by Refinitiv</v>
    <v>0</v>
    <v>TEXAS INSTRUMENTS INCORPORATED (XNAS:TXN)</v>
    <v>3</v>
    <v>4</v>
    <v>Finance</v>
    <v>5</v>
    <v>197.58</v>
    <v>115.51</v>
    <v>1.0275000000000001</v>
    <v>3.68</v>
    <v>1.9891000000000002E-2</v>
    <v>USD</v>
    <v>Texas Instruments Incorporated designs, makes and sells semiconductors to electronics designers and manufacturers across the world. The Company operates through two segments: Analog and Embedded Processing. As of December 31, 2016, the Company had design, manufacturing or sales operations in more than 30 countries. The Company's Analog segment's product line includes High Volume Analog &amp; Logic (HVAL), Power Management (Power), High Performance Analog (HPA) and Silicon Valley Analog (SVA). HVAL products support applications, such as automotive safety devices, touchscreen controllers, low-voltage motor drivers and integrated motor controllers. The Company's Embedded Processing segment's product line includes Processor, Microcontrollers and Connectivity. Processor products include digital signal processors (DSPs) and applications processors. DSPs perform mathematical computations to process digital data.</v>
    <v>30000</v>
    <v>Nasdaq Stock Market</v>
    <v>XNAS</v>
    <v>XNAS</v>
    <v>12500 T I Blvd, DALLAS, TX, 75243-0592 US</v>
    <v>189.35</v>
    <v>476</v>
    <v>Semiconductors &amp; Semiconductor Equipment</v>
    <v>Stock</v>
    <v>44340.992243714842</v>
    <v>477</v>
    <v>186.45169999999999</v>
    <v>174259649215</v>
    <v>TEXAS INSTRUMENTS INCORPORATED</v>
    <v>TEXAS INSTRUMENTS INCORPORATED</v>
    <v>186.45169999999999</v>
    <v>28.598600000000001</v>
    <v>185.01</v>
    <v>188.69</v>
    <v>923523500</v>
    <v>TXN</v>
    <v>TEXAS INSTRUMENTS INCORPORATED (XNAS:TXN)</v>
    <v>2776</v>
    <v>4719303</v>
    <v>1938</v>
  </rv>
  <rv s="4">
    <v>478</v>
  </rv>
  <rv s="0">
    <v>http://de.wikipedia.org/wiki/Trip.com_Group</v>
    <v>Wikipedia</v>
  </rv>
  <rv s="1">
    <v>73</v>
    <v>480</v>
  </rv>
  <rv s="2">
    <v>6</v>
    <v>https://www.bing.com/th?id=AMMS_b66ea308c3d77cbf3e791aaf1b0b26b6&amp;qlt=95</v>
    <v>481</v>
    <v>0</v>
    <v>https://www.bing.com/images/search?form=xlimg&amp;q=ctrip</v>
    <v>Image of Trip.com Group Limited</v>
  </rv>
  <rv s="0">
    <v>https://www.bing.com/financeapi/forcetrigger?t=a1qhqh&amp;q=XNAS%3aTCOM&amp;form=skydnc</v>
    <v>Learn more on Bing</v>
  </rv>
  <rv s="14">
    <v>en-US</v>
    <v>a1qhqh</v>
    <v>268435456</v>
    <v>1</v>
    <v>0</v>
    <v>Powered by Refinitiv</v>
    <v>25</v>
    <v>Trip.com Group Limited (XNAS:TCOM)</v>
    <v>3</v>
    <v>26</v>
    <v>Finance</v>
    <v>12</v>
    <v>45.19</v>
    <v>24.21</v>
    <v>1.3210999999999999</v>
    <v>-0.43</v>
    <v>-1.0811999999999999E-2</v>
    <v>USD</v>
    <v>Trip.com Group Limited, formerly Ctrip.com International, Ltd., is a travel service provider in China that provides accommodation booking, transportation ticketing, package tours and corporate travel management. The Company aggregates hotel and transportation information to help leisure and business travelers make reservations. The Company helps leisure travelers book travel packages and guided tours and helps corporate clients manage their travel needs. The Company also offers a range of travel-related services to meet the different booking and travel needs of leisure and business travelers, including visitor reviews, attraction tickets, travel-related financial services, car services, travel insurance services and passport services. The Company also offers package tours for independent leisure travelers, including tour groups, semi-tour groups and private groups, as well as package tours that require different transportation arrangements (such as cruise, buses or self-driving).</v>
    <v>33400</v>
    <v>Nasdaq Stock Market</v>
    <v>XNAS</v>
    <v>XNAS</v>
    <v>No. 99 Fu Quan Road, SHANGHAI, SHANGHAI, 200335 CN</v>
    <v>40.159999999999997</v>
    <v>482</v>
    <v>Hotels &amp; Entertainment Services</v>
    <v>Stock</v>
    <v>44340.97249893516</v>
    <v>483</v>
    <v>39.06</v>
    <v>51531830000</v>
    <v>Trip.com Group Limited</v>
    <v>Trip.com Group Limited</v>
    <v>40.1</v>
    <v>41.325800000000001</v>
    <v>39.770000000000003</v>
    <v>39.340000000000003</v>
    <v>717138500</v>
    <v>TCOM</v>
    <v>Trip.com Group Limited (XNAS:TCOM)</v>
    <v>23453</v>
    <v>3881318</v>
  </rv>
  <rv s="4">
    <v>484</v>
  </rv>
  <rv s="0">
    <v>http://en.wikipedia.org/wiki/Verisign</v>
    <v>Wikipedia</v>
  </rv>
  <rv s="1">
    <v>0</v>
    <v>486</v>
  </rv>
  <rv s="2">
    <v>6</v>
    <v>https://www.bing.com/th?id=AMMS_6da2b6f737e6b9436cb871e1a324d36c&amp;qlt=95</v>
    <v>487</v>
    <v>0</v>
    <v>https://www.bing.com/images/search?form=xlimg&amp;q=verisign</v>
    <v>Image of VERISIGN, INC.</v>
  </rv>
  <rv s="0">
    <v>https://www.bing.com/financeapi/forcetrigger?t=a25jqh&amp;q=XNAS%3aVRSN&amp;form=skydnc</v>
    <v>Learn more on Bing</v>
  </rv>
  <rv s="3">
    <v>en-US</v>
    <v>a25jqh</v>
    <v>268435456</v>
    <v>1</v>
    <v>0</v>
    <v>Powered by Refinitiv</v>
    <v>0</v>
    <v>VERISIGN, INC. (XNAS:VRSN)</v>
    <v>3</v>
    <v>4</v>
    <v>Finance</v>
    <v>12</v>
    <v>226.14</v>
    <v>184.6</v>
    <v>0.81369999999999998</v>
    <v>3.11</v>
    <v>1.4048E-2</v>
    <v>USD</v>
    <v>VeriSign, Inc. is a global provider of domain name registry services and Internet infrastructure. The Company enables the security, stability, and resiliency of key Internet infrastructure and services, including providing root zone maintainer services, operating two global Internet root servers, and providing registration services and authoritative resolution for the .com and .net top-level domains (TLDs), which supports the majority of global electronic-commerce. It operates the authoritative directory and the back-end systems for all .com, .net, .cc, .tv, .gov, .jobs, .edu and .name domain names, among others. The Company's services allow individuals and organizations to establish their online identities, while providing the secure, always-on access they need to communicate and transact reliably with online audiences. It also provides internationalized domain name (IDN) services that enable Internet users to access domain names in characters representing their local language.</v>
    <v>907</v>
    <v>Nasdaq Stock Market</v>
    <v>XNAS</v>
    <v>XNAS</v>
    <v>12061 Bluemont Way, RESTON, VA, 20190-5684 US</v>
    <v>226.14</v>
    <v>488</v>
    <v>Software &amp; IT Services</v>
    <v>Stock</v>
    <v>44340.874870381253</v>
    <v>489</v>
    <v>222.58</v>
    <v>25282920600</v>
    <v>VERISIGN, INC.</v>
    <v>VERISIGN, INC.</v>
    <v>223.31</v>
    <v>40.710799999999999</v>
    <v>221.39</v>
    <v>224.5</v>
    <v>112618800</v>
    <v>VRSN</v>
    <v>VERISIGN, INC. (XNAS:VRSN)</v>
    <v>23</v>
    <v>538386</v>
    <v>1995</v>
  </rv>
  <rv s="4">
    <v>490</v>
  </rv>
  <rv s="0">
    <v>http://en.wikipedia.org/wiki/Verisk_Analytics</v>
    <v>Wikipedia</v>
  </rv>
  <rv s="1">
    <v>73</v>
    <v>492</v>
  </rv>
  <rv s="2">
    <v>6</v>
    <v>https://www.bing.com/th?id=AMMS_c426aa40a8be203cd7529b0f67ddc38c&amp;qlt=95</v>
    <v>493</v>
    <v>0</v>
    <v>https://www.bing.com/images/search?form=xlimg&amp;q=verisk+analytics</v>
    <v>Image of VERISK ANALYTICS, INC.</v>
  </rv>
  <rv s="0">
    <v>https://www.bing.com/financeapi/forcetrigger?t=a25jnm&amp;q=XNAS%3aVRSK&amp;form=skydnc</v>
    <v>Learn more on Bing</v>
  </rv>
  <rv s="3">
    <v>en-US</v>
    <v>a25jnm</v>
    <v>268435456</v>
    <v>1</v>
    <v>0</v>
    <v>Powered by Refinitiv</v>
    <v>0</v>
    <v>VERISK ANALYTICS, INC. (XNAS:VRSK)</v>
    <v>3</v>
    <v>4</v>
    <v>Finance</v>
    <v>12</v>
    <v>210.66</v>
    <v>157.16</v>
    <v>0.78169999999999995</v>
    <v>0.66</v>
    <v>3.8040000000000001E-3</v>
    <v>USD</v>
    <v>Verisk Analytics, Inc. is a data analytics provider serving customers in insurance, natural resources and financial services. The Company operates through two segments: Risk Assessment and Decision Analytics. Its Risk Assessment segment serves its property and casualty insurance customers and focuses on prediction of loss, selection and pricing of risk, and compliance with their reporting requirements in each United States state in which they operate. In the Decision Analytics segment, the Company develops predictive models to forecast scenarios and produce both standard and customized analytics that help its customers manage their businesses, including predicting loss, selecting and pricing risk, detecting fraud before and after a loss event, and quantifying losses. It offers predictive analytics and decision support solutions to customers in rating, underwriting, claims, catastrophe and weather risk, natural resources intelligence, economic forecasting and various other fields.</v>
    <v>8960</v>
    <v>Nasdaq Stock Market</v>
    <v>XNAS</v>
    <v>XNAS</v>
    <v>545 Washington Blvd, JERSEY CITY, NJ, 07310-1607 US</v>
    <v>175.20500000000001</v>
    <v>494</v>
    <v>Software &amp; IT Services</v>
    <v>Stock</v>
    <v>44340.885768553126</v>
    <v>495</v>
    <v>173.02</v>
    <v>28231424303</v>
    <v>VERISK ANALYTICS, INC.</v>
    <v>VERISK ANALYTICS, INC.</v>
    <v>174.9</v>
    <v>40.502299999999998</v>
    <v>173.51</v>
    <v>174.17</v>
    <v>162091200</v>
    <v>VRSK</v>
    <v>VERISK ANALYTICS, INC. (XNAS:VRSK)</v>
    <v>9</v>
    <v>922531</v>
    <v>2008</v>
  </rv>
  <rv s="4">
    <v>496</v>
  </rv>
  <rv s="0">
    <v>http://de.wikipedia.org/wiki/Vertex_Pharmaceuticals</v>
    <v>Wikipedia</v>
  </rv>
  <rv s="1">
    <v>0</v>
    <v>498</v>
  </rv>
  <rv s="2">
    <v>6</v>
    <v>https://www.bing.com/th?id=AMMS_023cceec355873939bb924c68221ce68&amp;qlt=95</v>
    <v>499</v>
    <v>0</v>
    <v>https://www.bing.com/images/search?form=xlimg&amp;q=vertex+pharmaceuticals</v>
    <v>Image of VERTEX PHARMACEUTICALS INCORPORATED</v>
  </rv>
  <rv s="0">
    <v>https://www.bing.com/financeapi/forcetrigger?t=a25k5r&amp;q=XNAS%3aVRTX&amp;form=skydnc</v>
    <v>Learn more on Bing</v>
  </rv>
  <rv s="3">
    <v>en-US</v>
    <v>a25k5r</v>
    <v>268435456</v>
    <v>1</v>
    <v>0</v>
    <v>Powered by Refinitiv</v>
    <v>0</v>
    <v>VERTEX PHARMACEUTICALS INCORPORATED (XNAS:VRTX)</v>
    <v>3</v>
    <v>4</v>
    <v>Finance</v>
    <v>5</v>
    <v>306.08</v>
    <v>202.565</v>
    <v>0.67369999999999997</v>
    <v>-2.21</v>
    <v>-1.0355000000000001E-2</v>
    <v>USD</v>
    <v>Vertex Pharmaceuticals Incorporated is engaged in discovering, developing, manufacturing and commercializing medicines for serious diseases. The Company is focused on developing and commercializing therapies for the treatment of cystic fibrosis (CF) and advancing its research and development programs in other indications. The Company's marketed medicines are ORKAMBI and KALYDECO. ORKAMBI (lumacaftor in combination with ivacaftor) is approved as a treatment for patients having two copies (homozygous) of the Delta-F508 (F508del) mutation in their cystic fibrosis transmembrane conductance regulator (CFTR) gene. KALYDECO (ivacaftor) is approved for the treatment of CF patients having the G551D mutation or other specified mutations in their CFTR gene. The Company's development programs in the field of CF include Tezacaftor (VX-661), VX-152, VX-440, VX-659, VX-445 and VX-371. VX-152, VX-440, VX-659 and VX-445 are CFTR corrector compounds.</v>
    <v>3400</v>
    <v>Nasdaq Stock Market</v>
    <v>XNAS</v>
    <v>XNAS</v>
    <v>50 Northern Ave, BOSTON, MA, 02210-1862 US</v>
    <v>215.69499999999999</v>
    <v>500</v>
    <v>Biotechnology &amp; Medical Research</v>
    <v>Stock</v>
    <v>44340.990971909378</v>
    <v>501</v>
    <v>210.99</v>
    <v>54677613154</v>
    <v>VERTEX PHARMACEUTICALS INCORPORATED</v>
    <v>VERTEX PHARMACEUTICALS INCORPORATED</v>
    <v>215.02</v>
    <v>20.096399999999999</v>
    <v>213.43</v>
    <v>211.22</v>
    <v>258865700</v>
    <v>VRTX</v>
    <v>VERTEX PHARMACEUTICALS INCORPORATED (XNAS:VRTX)</v>
    <v>6077</v>
    <v>1390937</v>
    <v>1989</v>
  </rv>
  <rv s="4">
    <v>502</v>
  </rv>
  <rv s="0">
    <v>http://en.wikipedia.org/wiki/Walgreens_Boots_Alliance</v>
    <v>Wikipedia</v>
  </rv>
  <rv s="1">
    <v>0</v>
    <v>504</v>
  </rv>
  <rv s="2">
    <v>6</v>
    <v>https://www.bing.com/th?id=AMMS_fd94c9943d0e1b79227b540b2fe46245&amp;qlt=95</v>
    <v>505</v>
    <v>0</v>
    <v>https://www.bing.com/images/search?form=xlimg&amp;q=walgreens+boots+alliance</v>
    <v>Image of WALGREENS BOOTS ALLIANCE, INC.</v>
  </rv>
  <rv s="0">
    <v>https://www.bing.com/financeapi/forcetrigger?t=a25pm7&amp;q=XNAS%3aWBA&amp;form=skydnc</v>
    <v>Learn more on Bing</v>
  </rv>
  <rv s="3">
    <v>en-US</v>
    <v>a25pm7</v>
    <v>268435456</v>
    <v>1</v>
    <v>0</v>
    <v>Powered by Refinitiv</v>
    <v>0</v>
    <v>WALGREENS BOOTS ALLIANCE, INC. (XNAS:WBA)</v>
    <v>3</v>
    <v>4</v>
    <v>Finance</v>
    <v>5</v>
    <v>57.05</v>
    <v>33.36</v>
    <v>0.45279999999999998</v>
    <v>-0.05</v>
    <v>-9.1109999999999997E-4</v>
    <v>USD</v>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v>223000</v>
    <v>Nasdaq Stock Market</v>
    <v>XNAS</v>
    <v>XNAS</v>
    <v>108 Wilmot Rd, DEERFIELD, IL, 60015-5145 US</v>
    <v>55.32</v>
    <v>506</v>
    <v>Food &amp; Drug Retailing</v>
    <v>Stock</v>
    <v>44340.997472314062</v>
    <v>507</v>
    <v>54.761600000000001</v>
    <v>47394744952</v>
    <v>WALGREENS BOOTS ALLIANCE, INC.</v>
    <v>WALGREENS BOOTS ALLIANCE, INC.</v>
    <v>54.97</v>
    <v>87.096400000000003</v>
    <v>54.88</v>
    <v>54.83</v>
    <v>864394400</v>
    <v>WBA</v>
    <v>WALGREENS BOOTS ALLIANCE, INC. (XNAS:WBA)</v>
    <v>5651</v>
    <v>4513443</v>
    <v>2014</v>
  </rv>
  <rv s="4">
    <v>508</v>
  </rv>
  <rv s="0">
    <v>http://en.wikipedia.org/wiki/Workday,_Inc.</v>
    <v>Wikipedia</v>
  </rv>
  <rv s="1">
    <v>0</v>
    <v>510</v>
  </rv>
  <rv s="2">
    <v>6</v>
    <v>https://www.bing.com/th?id=AMMS_e90462ad6662bfdde863c7fc9117bb73&amp;qlt=95</v>
    <v>511</v>
    <v>0</v>
    <v>https://www.bing.com/images/search?form=xlimg&amp;q=workday+inc</v>
    <v>Image of WORKDAY, INC.</v>
  </rv>
  <rv s="0">
    <v>https://www.bing.com/financeapi/forcetrigger?t=a25rkr&amp;q=XNAS%3aWDAY&amp;form=skydnc</v>
    <v>Learn more on Bing</v>
  </rv>
  <rv s="6">
    <v>en-US</v>
    <v>a25rkr</v>
    <v>268435456</v>
    <v>1</v>
    <v>0</v>
    <v>Powered by Refinitiv</v>
    <v>10</v>
    <v>WORKDAY, INC. (XNAS:WDAY)</v>
    <v>3</v>
    <v>11</v>
    <v>Finance</v>
    <v>12</v>
    <v>282.77</v>
    <v>162.66</v>
    <v>1.2776000000000001</v>
    <v>2.58</v>
    <v>1.1148999999999999E-2</v>
    <v>USD</v>
    <v>Workday, Inc. is a provider of enterprise cloud applications for finance and human resources. The Company delivers financial management, human capital management and analytics applications designed for various companies, educational institutions and government agencies. As part of its applications, the Company provides embedded analytics that capture the content and context of everyday business events, facilitating informed decision-making from wherever users are working. Its applications include Workday Financial Management, Workday Human Capital Management (HCM) and Other Applications. It also provides open, standards-based Web-services application programming interfaces, and pre-built packaged integrations and connectors. Workday Financial Management is a unified application with a range of financial capabilities, relevant analytics and metrics, and auditable process management. Workday HCM allows an organization to staff, pay, organize and develop its global workforce.</v>
    <v>12500</v>
    <v>Nasdaq Stock Market</v>
    <v>XNAS</v>
    <v>XNAS</v>
    <v>6110 Stoneridge Mall Rd, PLEASANTON, CA, 94588-3211 US</v>
    <v>237</v>
    <v>512</v>
    <v>Software &amp; IT Services</v>
    <v>Stock</v>
    <v>44340.999080150003</v>
    <v>513</v>
    <v>233.24</v>
    <v>57082053600</v>
    <v>WORKDAY, INC.</v>
    <v>WORKDAY, INC.</v>
    <v>235.63</v>
    <v>231.42</v>
    <v>234</v>
    <v>243940400</v>
    <v>WDAY</v>
    <v>WORKDAY, INC. (XNAS:WDAY)</v>
    <v>266</v>
    <v>1458842</v>
    <v>2012</v>
  </rv>
  <rv s="4">
    <v>514</v>
  </rv>
  <rv s="0">
    <v>http://en.wikipedia.org/wiki/Xcel_Energy</v>
    <v>Wikipedia</v>
  </rv>
  <rv s="1">
    <v>0</v>
    <v>516</v>
  </rv>
  <rv s="2">
    <v>6</v>
    <v>https://www.bing.com/th?id=AMMS_c4a19de3da31881498cd346be1594218&amp;qlt=95</v>
    <v>517</v>
    <v>0</v>
    <v>https://www.bing.com/images/search?form=xlimg&amp;q=xcel+energy</v>
    <v>Image of Xcel Energy Inc.</v>
  </rv>
  <rv s="0">
    <v>https://www.bing.com/financeapi/forcetrigger?t=ay4lu2&amp;q=XNAS%3aXEL&amp;form=skydnc</v>
    <v>Learn more on Bing</v>
  </rv>
  <rv s="3">
    <v>en-US</v>
    <v>ay4lu2</v>
    <v>268435456</v>
    <v>1</v>
    <v>0</v>
    <v>Powered by Refinitiv</v>
    <v>0</v>
    <v>Xcel Energy Inc. (XNAS:XEL)</v>
    <v>3</v>
    <v>4</v>
    <v>Finance</v>
    <v>12</v>
    <v>76.44</v>
    <v>57.23</v>
    <v>0.30149999999999999</v>
    <v>-0.37</v>
    <v>-5.1359999999999991E-3</v>
    <v>USD</v>
    <v>Xcel Energy Inc. is a public utility holding company. The Company's operations include the activity of four utility subsidiaries that serve electric and natural gas customers in eight states. The Company's segments include regulated electric utility, regulated natural gas utility and all other. The Company's utility subsidiaries include NSP-Minnesota, NSP-Wisconsin, Public Service Company of Colorado (PSCo) and Southwestern Public Service Co. (SPS), which serve customers in portions of Colorado, Michigan, Minnesota, New Mexico, North Dakota, South Dakota, Texas and Wisconsin. Along with WYCO Development LLC (WYCO), a joint venture formed with Colorado Interstate Gas Company, LLC (CIG) to develop and lease natural gas pipelines storage and compression facilities, and WestGas InterState, Inc. (WGI), an interstate natural gas pipeline company, these companies comprise the regulated utility operations.</v>
    <v>11367</v>
    <v>Nasdaq Stock Market</v>
    <v>XNAS</v>
    <v>XNAS</v>
    <v>414 Nicollet Mall, MINNEAPOLIS, MN, 55401-1927 US</v>
    <v>72.56</v>
    <v>518</v>
    <v>Electrical Utilities &amp; IPPs</v>
    <v>Stock</v>
    <v>44340.997852626562</v>
    <v>519</v>
    <v>71.61</v>
    <v>38573281356</v>
    <v>Xcel Energy Inc.</v>
    <v>Xcel Energy Inc.</v>
    <v>72.53</v>
    <v>24.708500000000001</v>
    <v>72.040000000000006</v>
    <v>71.67</v>
    <v>538206800</v>
    <v>XEL</v>
    <v>Xcel Energy Inc. (XNAS:XEL)</v>
    <v>101</v>
    <v>2641120</v>
    <v>1909</v>
  </rv>
  <rv s="4">
    <v>520</v>
  </rv>
  <rv s="0">
    <v>http://en.wikipedia.org/wiki/Xilinx</v>
    <v>Wikipedia</v>
  </rv>
  <rv s="1">
    <v>0</v>
    <v>522</v>
  </rv>
  <rv s="2">
    <v>6</v>
    <v>https://www.bing.com/th?id=AMMS_b317276bfaf652a4c32501f6b69f09f9&amp;qlt=95</v>
    <v>523</v>
    <v>0</v>
    <v>https://www.bing.com/images/search?form=xlimg&amp;q=xilinx</v>
    <v>Image of XILINX, INC.</v>
  </rv>
  <rv s="0">
    <v>https://www.bing.com/financeapi/forcetrigger?t=a2683m&amp;q=XNAS%3aXLNX&amp;form=skydnc</v>
    <v>Learn more on Bing</v>
  </rv>
  <rv s="3">
    <v>en-US</v>
    <v>a2683m</v>
    <v>268435456</v>
    <v>1</v>
    <v>0</v>
    <v>Powered by Refinitiv</v>
    <v>0</v>
    <v>XILINX, INC. (XNAS:XLNX)</v>
    <v>3</v>
    <v>4</v>
    <v>Finance</v>
    <v>5</v>
    <v>154.93</v>
    <v>87.79</v>
    <v>1.0087999999999999</v>
    <v>0.96</v>
    <v>7.8169999999999993E-3</v>
    <v>USD</v>
    <v>Xilinx, Inc. (Xilinx) is engaged in designing and developing programmable devices and associated technologies. The Company's programmable devices and associated technologies include integrated circuits (ICs) in the form of programmable logic devices (PLDs), including programmable System on Chips (SoCs) and three-dimensional ICs (3D ICs); software design tools to program the PLDs; targeted reference designs; printed circuit boards, and intellectual property (IP), which consists of Xilinx, and various third-party verification and IP cores. The Company provides design services, customer training, field engineering and technical support. Its PLDs include field programmable gate arrays (FPGAs), complex programmable logic devices (CPLDs) that its customers program to perform desired logic functions, and programmable SoCs, which combine (Advanced reduced instruction set computing (RISC) Machines (ARM)) processor-based systems with programmable logic in a single device.</v>
    <v>4890</v>
    <v>Nasdaq Stock Market</v>
    <v>XNAS</v>
    <v>XNAS</v>
    <v>2100 LOGIC DR, SAN JOSE, CA, 95124-3450 US</v>
    <v>124.4</v>
    <v>524</v>
    <v>Semiconductors &amp; Semiconductor Equipment</v>
    <v>Stock</v>
    <v>44340.968213691405</v>
    <v>525</v>
    <v>122.72</v>
    <v>30427616800</v>
    <v>XILINX, INC.</v>
    <v>XILINX, INC.</v>
    <v>123.9</v>
    <v>47.330399999999997</v>
    <v>122.81</v>
    <v>123.77</v>
    <v>245840000</v>
    <v>XLNX</v>
    <v>XILINX, INC. (XNAS:XLNX)</v>
    <v>1590</v>
    <v>2262919</v>
    <v>1990</v>
  </rv>
  <rv s="4">
    <v>526</v>
  </rv>
  <rv s="0">
    <v>http://en.wikipedia.org/wiki/Zoom_Video_Communications</v>
    <v>Wikipedia</v>
  </rv>
  <rv s="1">
    <v>0</v>
    <v>528</v>
  </rv>
  <rv s="2">
    <v>6</v>
    <v>https://www.bing.com/th?id=AMMS_1b628143de5621209aee88f765b263d9&amp;qlt=95</v>
    <v>529</v>
    <v>0</v>
    <v>https://www.bing.com/images/search?form=xlimg&amp;q=zoom+video+communications</v>
    <v>Image of ZOOM VIDEO COMMUNICATIONS, INC.</v>
  </rv>
  <rv s="0">
    <v>https://www.bing.com/financeapi/forcetrigger?t=bpoxyc&amp;q=XNAS%3aZM&amp;form=skydnc</v>
    <v>Learn more on Bing</v>
  </rv>
  <rv s="9">
    <v>en-US</v>
    <v>bpoxyc</v>
    <v>268435456</v>
    <v>1</v>
    <v>0</v>
    <v>Powered by Refinitiv</v>
    <v>15</v>
    <v>ZOOM VIDEO COMMUNICATIONS, INC. (XNAS:ZM)</v>
    <v>3</v>
    <v>16</v>
    <v>Finance</v>
    <v>5</v>
    <v>588.84</v>
    <v>149.16</v>
    <v>5.16</v>
    <v>1.6308E-2</v>
    <v>USD</v>
    <v>Zoom Video Communications, Inc. is a provider of video-first communication platform and Web conferencing services. It offers cloud-native platform, which unifies cloud video conferencing, online meetings, group messaging and a software-based conference room system, which enables users to easily experience Zoom Meetings in their physical meeting spaces. Its solution offers video, audio and screen-sharing experience across Windows, Mac, Linux, Android, BlackBerry, Zoom Rooms and H.323/Session Initiation Protocol room systems, such as Polycom and Cisco Tandberg. Its solutions include Meetings, Premium Audio, Business Instant Messaging (IM), Video Webinar, Zoom Rooms, H.323/SIP Connector and Developer Platform. Its cloud video conferencing solutions include full screen and gallery view, and dual stream for dual screen. Its security solutions include secure socket layer (SSL) encryption and role-based access control. It offers its solutions to education, finance and government sectors.</v>
    <v>4422</v>
    <v>Nasdaq Stock Market</v>
    <v>XNAS</v>
    <v>XNAS</v>
    <v>55 Almaden Blvd Fl 6, San Jose, CA, 95113-1608 US</v>
    <v>324.02999999999997</v>
    <v>530</v>
    <v>Software &amp; IT Services</v>
    <v>Stock</v>
    <v>44340.999662094531</v>
    <v>531</v>
    <v>316.5</v>
    <v>94686654068</v>
    <v>ZOOM VIDEO COMMUNICATIONS, INC.</v>
    <v>ZOOM VIDEO COMMUNICATIONS, INC.</v>
    <v>318.52</v>
    <v>150.80709999999999</v>
    <v>316.39999999999998</v>
    <v>321.56</v>
    <v>294460300</v>
    <v>ZM</v>
    <v>ZOOM VIDEO COMMUNICATIONS, INC. (XNAS:ZM)</v>
    <v>2827</v>
    <v>2776983</v>
    <v>2011</v>
  </rv>
  <rv s="4">
    <v>532</v>
  </rv>
</rvData>
</file>

<file path=xl/richData/rdrichvaluestructure.xml><?xml version="1.0" encoding="utf-8"?>
<rvStructures xmlns="http://schemas.microsoft.com/office/spreadsheetml/2017/richdata" count="15">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error">
    <k n="errorType" t="i"/>
    <k n="field" t="s"/>
    <k n="subType" t="i"/>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OutdatedReason" t="i"/>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0">
    <a count="44">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v t="s">%OutdatedReason</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Image</v>
      <v t="s">ExchangeID</v>
      <v t="s">%ProviderInfo</v>
      <v t="s">%OutdatedReason</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ExchangeID</v>
      <v t="s">%ProviderInfo</v>
      <v t="s">%OutdatedReason</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v t="s">%OutdatedReason</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%OutdatedReason</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Image</v>
      <v t="s">ExchangeID</v>
      <v t="s">%ProviderInfo</v>
      <v t="s">%OutdatedReason</v>
    </a>
  </spbArrays>
  <spbData count="27">
    <spb s="0">
      <v>0</v>
      <v>Name</v>
      <v>LearnMoreOnLink</v>
    </spb>
    <spb s="1">
      <v>0</v>
      <v>0</v>
    </spb>
    <spb s="2">
      <v>0</v>
      <v>0</v>
      <v>0</v>
    </spb>
    <spb s="3">
      <v>1</v>
      <v>2</v>
      <v>2</v>
      <v>2</v>
      <v>2</v>
    </spb>
    <spb s="4">
      <v>1</v>
      <v>2</v>
      <v>2</v>
      <v>1</v>
      <v>3</v>
      <v>1</v>
      <v>4</v>
      <v>1</v>
      <v>1</v>
      <v>5</v>
      <v>5</v>
      <v>6</v>
      <v>7</v>
      <v>1</v>
      <v>1</v>
      <v>1</v>
      <v>5</v>
      <v>8</v>
      <v>9</v>
      <v>10</v>
      <v>11</v>
      <v>5</v>
    </spb>
    <spb s="5">
      <v>Real-Time Nasdaq Last Sale</v>
      <v>from previous close</v>
      <v>from previous close</v>
      <v>Source: Nasdaq Last Sale</v>
      <v>GMT</v>
    </spb>
    <spb s="6">
      <v>Powered by Refinitiv</v>
    </spb>
    <spb s="0">
      <v>1</v>
      <v>Name</v>
      <v>LearnMoreOnLink</v>
    </spb>
    <spb s="7">
      <v>2</v>
      <v>2</v>
      <v>2</v>
      <v>2</v>
    </spb>
    <spb s="8">
      <v>1</v>
      <v>2</v>
      <v>2</v>
      <v>1</v>
      <v>3</v>
      <v>1</v>
      <v>1</v>
      <v>1</v>
      <v>5</v>
      <v>5</v>
      <v>6</v>
      <v>7</v>
      <v>1</v>
      <v>1</v>
      <v>1</v>
      <v>5</v>
      <v>8</v>
      <v>9</v>
      <v>10</v>
      <v>11</v>
      <v>5</v>
    </spb>
    <spb s="0">
      <v>2</v>
      <v>Name</v>
      <v>LearnMoreOnLink</v>
    </spb>
    <spb s="9">
      <v>1</v>
      <v>2</v>
      <v>1</v>
      <v>3</v>
      <v>1</v>
      <v>4</v>
      <v>1</v>
      <v>1</v>
      <v>5</v>
      <v>5</v>
      <v>6</v>
      <v>7</v>
      <v>1</v>
      <v>1</v>
      <v>1</v>
      <v>5</v>
      <v>8</v>
      <v>9</v>
      <v>10</v>
      <v>11</v>
      <v>5</v>
    </spb>
    <spb s="5">
      <v>Delayed 15 minutes</v>
      <v>from previous close</v>
      <v>from previous close</v>
      <v>Source: Nasdaq</v>
      <v>GMT</v>
    </spb>
    <spb s="0">
      <v>3</v>
      <v>Name</v>
      <v>LearnMoreOnLink</v>
    </spb>
    <spb s="10">
      <v>1</v>
      <v>1</v>
      <v>3</v>
      <v>1</v>
      <v>4</v>
      <v>1</v>
      <v>1</v>
      <v>5</v>
      <v>5</v>
      <v>6</v>
      <v>7</v>
      <v>1</v>
      <v>1</v>
      <v>1</v>
      <v>5</v>
      <v>8</v>
      <v>9</v>
      <v>10</v>
      <v>11</v>
      <v>5</v>
    </spb>
    <spb s="0">
      <v>4</v>
      <v>Name</v>
      <v>LearnMoreOnLink</v>
    </spb>
    <spb s="11">
      <v>1</v>
      <v>2</v>
      <v>1</v>
      <v>3</v>
      <v>1</v>
      <v>4</v>
      <v>1</v>
      <v>1</v>
      <v>5</v>
      <v>5</v>
      <v>6</v>
      <v>7</v>
      <v>1</v>
      <v>1</v>
      <v>1</v>
      <v>5</v>
      <v>8</v>
      <v>9</v>
      <v>10</v>
      <v>11</v>
      <v>5</v>
    </spb>
    <spb s="0">
      <v>5</v>
      <v>Name</v>
      <v>LearnMoreOnLink</v>
    </spb>
    <spb s="12">
      <v>1</v>
      <v>2</v>
      <v>1</v>
      <v>3</v>
      <v>1</v>
      <v>1</v>
      <v>1</v>
      <v>5</v>
      <v>5</v>
      <v>6</v>
      <v>12</v>
      <v>1</v>
      <v>1</v>
      <v>1</v>
      <v>5</v>
      <v>8</v>
      <v>9</v>
      <v>11</v>
      <v>5</v>
    </spb>
    <spb s="0">
      <v>6</v>
      <v>Name</v>
      <v>LearnMoreOnLink</v>
    </spb>
    <spb s="13">
      <v>1</v>
      <v>2</v>
      <v>1</v>
      <v>3</v>
      <v>1</v>
      <v>1</v>
      <v>1</v>
      <v>5</v>
      <v>5</v>
      <v>6</v>
      <v>7</v>
      <v>1</v>
      <v>1</v>
      <v>1</v>
      <v>5</v>
      <v>8</v>
      <v>9</v>
      <v>10</v>
      <v>11</v>
      <v>5</v>
    </spb>
    <spb s="0">
      <v>7</v>
      <v>Name</v>
      <v>LearnMoreOnLink</v>
    </spb>
    <spb s="14">
      <v>1</v>
      <v>1</v>
      <v>3</v>
      <v>1</v>
      <v>1</v>
      <v>1</v>
      <v>5</v>
      <v>5</v>
      <v>6</v>
      <v>7</v>
      <v>1</v>
      <v>1</v>
      <v>1</v>
      <v>5</v>
      <v>8</v>
      <v>9</v>
      <v>10</v>
      <v>11</v>
      <v>5</v>
    </spb>
    <spb s="0">
      <v>8</v>
      <v>Name</v>
      <v>LearnMoreOnLink</v>
    </spb>
    <spb s="15">
      <v>1</v>
      <v>2</v>
      <v>1</v>
      <v>3</v>
      <v>1</v>
      <v>1</v>
      <v>1</v>
      <v>5</v>
      <v>5</v>
      <v>6</v>
      <v>7</v>
      <v>1</v>
      <v>1</v>
      <v>1</v>
      <v>5</v>
      <v>8</v>
      <v>9</v>
      <v>10</v>
      <v>11</v>
      <v>5</v>
    </spb>
    <spb s="0">
      <v>9</v>
      <v>Name</v>
      <v>LearnMoreOnLink</v>
    </spb>
    <spb s="16">
      <v>1</v>
      <v>2</v>
      <v>2</v>
      <v>1</v>
      <v>3</v>
      <v>1</v>
      <v>4</v>
      <v>1</v>
      <v>1</v>
      <v>5</v>
      <v>5</v>
      <v>6</v>
      <v>7</v>
      <v>1</v>
      <v>1</v>
      <v>1</v>
      <v>5</v>
      <v>8</v>
      <v>9</v>
      <v>11</v>
      <v>5</v>
    </spb>
  </spbData>
</supportingPropertyBags>
</file>

<file path=xl/richData/rdsupportingpropertybagstructure.xml><?xml version="1.0" encoding="utf-8"?>
<spbStructures xmlns="http://schemas.microsoft.com/office/spreadsheetml/2017/richdata2" count="17">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P/E"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_DisplayString"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9">
    <x:dxf>
      <x:numFmt numFmtId="166" formatCode="_([$$-409]* #,##0.00_);_([$$-409]* \(#,##0.00\);_([$$-409]* &quot;-&quot;??_);_(@_)"/>
    </x:dxf>
    <x:dxf>
      <x:numFmt numFmtId="4" formatCode="#,##0.00"/>
    </x:dxf>
    <x:dxf>
      <x:numFmt numFmtId="3" formatCode="#,##0"/>
    </x:dxf>
    <x:dxf>
      <x:numFmt numFmtId="14" formatCode="0.00%"/>
    </x:dxf>
    <x:dxf>
      <x:numFmt numFmtId="165" formatCode="_([$$-409]* #,##0_);_([$$-409]* \(#,##0\);_([$$-409]* &quot;-&quot;_);_(@_)"/>
    </x:dxf>
    <x:dxf>
      <x:numFmt numFmtId="27" formatCode="dd/mm/yyyy\ h:mm"/>
    </x:dxf>
    <x:dxf>
      <x:numFmt numFmtId="1" formatCode="0"/>
    </x:dxf>
    <x:dxf>
      <x:numFmt numFmtId="2" formatCode="0.00"/>
    </x:dxf>
    <x:dxf>
      <x:numFmt numFmtId="164" formatCode="_-[$$-3C09]* #,##0_-;\-[$$-3C09]* #,##0_-;_-[$$-3C09]* &quot;-&quot;_-;_-@_-"/>
    </x:dxf>
  </dxfs>
  <richProperties>
    <rPr n="IsTitleField" t="b"/>
    <rPr n="IsHeroField" t="b"/>
    <rPr n="ShouldShowInCell" t="b"/>
  </richProperties>
  <richStyles>
    <rSty dxfid="0"/>
    <rSty dxfid="1"/>
    <rSty>
      <rpv i="0">1</rpv>
    </rSty>
    <rSty>
      <rpv i="1">1</rpv>
    </rSty>
    <rSty dxfid="2"/>
    <rSty dxfid="3"/>
    <rSty dxfid="4"/>
    <rSty dxfid="5"/>
    <rSty>
      <rpv i="2">1</rpv>
    </rSty>
    <rSty dxfid="6"/>
    <rSty dxfid="7"/>
    <rSty dxfid="8"/>
  </richStyles>
</richStyleSheet>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03317-E545-4528-9EFB-784828B1F40E}">
  <sheetPr codeName="גיליון1"/>
  <dimension ref="A1:Q103"/>
  <sheetViews>
    <sheetView rightToLeft="1" tabSelected="1" workbookViewId="0">
      <selection activeCell="A103" sqref="A2:A103"/>
    </sheetView>
  </sheetViews>
  <sheetFormatPr defaultRowHeight="13.8" x14ac:dyDescent="0.25"/>
  <cols>
    <col min="4" max="4" width="10.09765625" customWidth="1"/>
    <col min="11" max="11" width="10.19921875" customWidth="1"/>
  </cols>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t="e" vm="1">
        <v>#VALUE!</v>
      </c>
      <c r="B2" t="str">
        <f t="shared" ref="B2:B33" si="0">_FV(A2,"Ticker symbol",TRUE)</f>
        <v>ATVI</v>
      </c>
      <c r="C2" t="str">
        <f t="shared" ref="C2:C33" si="1">_FV(A2,"Name")</f>
        <v>ACTIVISION BLIZZARD, INC.</v>
      </c>
      <c r="D2" t="str">
        <f t="shared" ref="D2:D33" si="2">_FV(A2,"Description")</f>
        <v>Activision Blizzard, Inc. is a developer and publisher of interactive entertainment content and services. The Company develops and distributes content and services across various gaming platforms, including video game consoles, personal computers (PC) and mobile devices. Its segments include Activision Publishing, Inc. (Activision), Blizzard Entertainment, Inc. (Blizzard), King Digital Entertainment (King) and Other. Activision is a developer and publisher of interactive software products and content. Blizzard is engaged in developing and publishing of interactive software products and entertainment content, particularly in PC gaming. King is a mobile entertainment company. It is engaged in other businesses, including The Major League Gaming (MLG) business; The Activision Blizzard Studios (Studios) business, and The Activision Blizzard Distribution (Distribution) business. It also develops products spanning other genres, including action/adventure, role-playing and simulation.</v>
      </c>
      <c r="E2" t="str">
        <f t="shared" ref="E2:E33" si="3">_FV(A2,"Industry")</f>
        <v>Software &amp; IT Services</v>
      </c>
      <c r="F2" s="1">
        <f t="shared" ref="F2:F33" si="4">_FV(A2,"Price")</f>
        <v>96.5</v>
      </c>
      <c r="G2" s="1">
        <f t="shared" ref="G2:G33" si="5">_FV(A2,"High")</f>
        <v>96.77</v>
      </c>
      <c r="H2" s="1">
        <f t="shared" ref="H2:H33" si="6">_FV(A2,"Low")</f>
        <v>95.82</v>
      </c>
      <c r="I2" s="1">
        <f t="shared" ref="I2:I33" si="7">_FV(A2,"Open")</f>
        <v>95.93</v>
      </c>
      <c r="J2" s="1">
        <f t="shared" ref="J2:J33" si="8">_FV(A2,"Previous close",TRUE)</f>
        <v>95.37</v>
      </c>
      <c r="K2" s="2">
        <f t="shared" ref="K2:K33" si="9">_FV(A2,"Market cap",TRUE)</f>
        <v>74982121200</v>
      </c>
      <c r="L2" s="5">
        <f t="shared" ref="L2:L33" si="10">_FV(A2,"Change (%)",TRUE)</f>
        <v>1.1849E-2</v>
      </c>
      <c r="M2" s="6" cm="1">
        <f t="array" ref="M2">_FV(A2,"Beta")</f>
        <v>0.60540000000000005</v>
      </c>
      <c r="N2" s="7" cm="1">
        <f t="array" ref="N2">_FV(A2,"Volume")</f>
        <v>1352</v>
      </c>
      <c r="O2" s="6" cm="1">
        <f t="array" ref="O2">_FV(A2,"P/E",TRUE)</f>
        <v>32.5458</v>
      </c>
      <c r="P2" s="7" cm="1">
        <f t="array" ref="P2">_FV(A2,"Employees")</f>
        <v>9500</v>
      </c>
      <c r="Q2" t="str" cm="1">
        <f t="array" ref="Q2">_FV(A2,"Exchange")</f>
        <v>Nasdaq Stock Market</v>
      </c>
    </row>
    <row r="3" spans="1:17" x14ac:dyDescent="0.25">
      <c r="A3" t="e" vm="2">
        <v>#VALUE!</v>
      </c>
      <c r="B3" t="str">
        <f t="shared" si="0"/>
        <v>ADBE</v>
      </c>
      <c r="C3" t="str">
        <f t="shared" si="1"/>
        <v>ADOBE INC.</v>
      </c>
      <c r="D3" t="str">
        <f t="shared" si="2"/>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c>
      <c r="E3" t="str">
        <f t="shared" si="3"/>
        <v>Software &amp; IT Services</v>
      </c>
      <c r="F3" s="1">
        <f t="shared" si="4"/>
        <v>497.83</v>
      </c>
      <c r="G3" s="1">
        <f t="shared" si="5"/>
        <v>499.99</v>
      </c>
      <c r="H3" s="1">
        <f t="shared" si="6"/>
        <v>492.01</v>
      </c>
      <c r="I3" s="1">
        <f t="shared" si="7"/>
        <v>494.64</v>
      </c>
      <c r="J3" s="1">
        <f t="shared" si="8"/>
        <v>488.07</v>
      </c>
      <c r="K3" s="2">
        <f t="shared" si="9"/>
        <v>237962740000</v>
      </c>
      <c r="L3" s="5">
        <f t="shared" si="10"/>
        <v>1.9997000000000001E-2</v>
      </c>
      <c r="M3" s="6" cm="1">
        <f t="array" ref="M3">_FV(A3,"Beta")</f>
        <v>0.94969999999999999</v>
      </c>
      <c r="N3" s="7" cm="1">
        <f t="array" ref="N3">_FV(A3,"Volume")</f>
        <v>3392</v>
      </c>
      <c r="O3" s="6" cm="1">
        <f t="array" ref="O3">_FV(A3,"P/E",TRUE)</f>
        <v>43.292700000000004</v>
      </c>
      <c r="P3" s="7" cm="1">
        <f t="array" ref="P3">_FV(A3,"Employees")</f>
        <v>22516</v>
      </c>
      <c r="Q3" t="str" cm="1">
        <f t="array" ref="Q3">_FV(A3,"Exchange")</f>
        <v>Nasdaq Stock Market</v>
      </c>
    </row>
    <row r="4" spans="1:17" x14ac:dyDescent="0.25">
      <c r="A4" t="e" vm="3">
        <v>#VALUE!</v>
      </c>
      <c r="B4" t="str">
        <f t="shared" si="0"/>
        <v>AMD</v>
      </c>
      <c r="C4" t="str">
        <f t="shared" si="1"/>
        <v>ADVANCED MICRO DEVICES, INC.</v>
      </c>
      <c r="D4" t="str">
        <f t="shared" si="2"/>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c>
      <c r="E4" t="str">
        <f t="shared" si="3"/>
        <v>Semiconductors &amp; Semiconductor Equipment</v>
      </c>
      <c r="F4" s="1">
        <f t="shared" si="4"/>
        <v>77.44</v>
      </c>
      <c r="G4" s="1">
        <f t="shared" si="5"/>
        <v>78.010000000000005</v>
      </c>
      <c r="H4" s="1">
        <f t="shared" si="6"/>
        <v>76.8</v>
      </c>
      <c r="I4" s="1">
        <f t="shared" si="7"/>
        <v>77.260000000000005</v>
      </c>
      <c r="J4" s="1">
        <f t="shared" si="8"/>
        <v>77.17</v>
      </c>
      <c r="K4" s="2">
        <f t="shared" si="9"/>
        <v>94091226240</v>
      </c>
      <c r="L4" s="5">
        <f t="shared" si="10"/>
        <v>3.4989999999999999E-3</v>
      </c>
      <c r="M4" s="6" cm="1">
        <f t="array" ref="M4">_FV(A4,"Beta")</f>
        <v>2.0347</v>
      </c>
      <c r="N4" s="7" cm="1">
        <f t="array" ref="N4">_FV(A4,"Volume")</f>
        <v>350471</v>
      </c>
      <c r="O4" s="6" cm="1">
        <f t="array" ref="O4">_FV(A4,"P/E",TRUE)</f>
        <v>32.872799999999998</v>
      </c>
      <c r="P4" s="7" cm="1">
        <f t="array" ref="P4">_FV(A4,"Employees")</f>
        <v>12600</v>
      </c>
      <c r="Q4" t="str" cm="1">
        <f t="array" ref="Q4">_FV(A4,"Exchange")</f>
        <v>Nasdaq Stock Market</v>
      </c>
    </row>
    <row r="5" spans="1:17" x14ac:dyDescent="0.25">
      <c r="A5" t="e" vm="4">
        <v>#VALUE!</v>
      </c>
      <c r="B5" t="str">
        <f t="shared" si="0"/>
        <v>ALXN</v>
      </c>
      <c r="C5" t="str">
        <f t="shared" si="1"/>
        <v>ALEXION PHARMACEUTICALS, INC.</v>
      </c>
      <c r="D5" t="str">
        <f t="shared" si="2"/>
        <v>Alexion Pharmaceuticals, Inc. is a biopharmaceutical company. The Company is focused on the development and commercialization of therapeutic products. The Company’s marketed products include SOLIRIS (eculizumab), Strensiq (asfotase alfa), Kanuma (sebelipase alfa), ULTOMIRIS, Andexxa and Ondexxya. The Company’s clinical development programs include ALXN1210, ALXN1810, ALXN1720, ALXN1830, ALXN1840 and ABY-039. The Company’s ULTOMIRIS is a long-acting C5 inhibitor discovered and developed by Alexion that works by inhibiting the C5 protein in the terminal complement cascade. Its SOLIRIS is an C5 inhibitor discovered and developed by Alexion that works by inhibiting the C5 protein in the terminal complement cascade. SOLIRIS is a humanized monoclonal antibody that effectively blocks terminal complement activity at the doses prescribed.</v>
      </c>
      <c r="E5" t="str">
        <f t="shared" si="3"/>
        <v>Pharmaceuticals</v>
      </c>
      <c r="F5" s="1">
        <f t="shared" si="4"/>
        <v>178.04</v>
      </c>
      <c r="G5" s="1">
        <f t="shared" si="5"/>
        <v>178.71</v>
      </c>
      <c r="H5" s="1">
        <f t="shared" si="6"/>
        <v>177.98</v>
      </c>
      <c r="I5" s="1">
        <f t="shared" si="7"/>
        <v>178.2</v>
      </c>
      <c r="J5" s="1">
        <f t="shared" si="8"/>
        <v>177.72</v>
      </c>
      <c r="K5" s="2">
        <f t="shared" si="9"/>
        <v>39350258368</v>
      </c>
      <c r="L5" s="5">
        <f t="shared" si="10"/>
        <v>1.8010000000000001E-3</v>
      </c>
      <c r="M5" s="6" cm="1">
        <f t="array" ref="M5">_FV(A5,"Beta")</f>
        <v>1.2801</v>
      </c>
      <c r="N5" s="7" cm="1">
        <f t="array" ref="N5">_FV(A5,"Volume")</f>
        <v>390</v>
      </c>
      <c r="O5" s="6" cm="1">
        <f t="array" ref="O5">_FV(A5,"P/E",TRUE)</f>
        <v>58.447000000000003</v>
      </c>
      <c r="P5" s="7" cm="1">
        <f t="array" ref="P5">_FV(A5,"Employees")</f>
        <v>3837</v>
      </c>
      <c r="Q5" t="str" cm="1">
        <f t="array" ref="Q5">_FV(A5,"Exchange")</f>
        <v>Nasdaq Stock Market</v>
      </c>
    </row>
    <row r="6" spans="1:17" x14ac:dyDescent="0.25">
      <c r="A6" t="e" vm="5">
        <v>#VALUE!</v>
      </c>
      <c r="B6" t="str">
        <f t="shared" si="0"/>
        <v>ALGN</v>
      </c>
      <c r="C6" t="str">
        <f t="shared" si="1"/>
        <v>ALIGN TECHNOLOGY, INC.</v>
      </c>
      <c r="D6" t="str">
        <f t="shared" si="2"/>
        <v>Align Technology, Inc. designs, manufactures and markets a system of clear aligner therapy, intra-oral scanners and computer-aided design/computer-aided manufacturing (CAD/CAM) digital services used in dentistry, orthodontics and dental records storage. The Company operates through two segments: Clear Aligner segment and Scanner and Services (Scanner) segment. The Clear Aligner segment consists of its Invisalign System, which includes Invisalign Full, Teen and Assist (Comprehensive Products), Express/Lite (Non-Comprehensive Products) and Vivera Retainers, along with its training and ancillary products for treating malocclusion (Non-Case). The Scanner segment consists of intra-oral scanning systems and other services available with the intra-oral scanners that provide digital alternatives to the traditional cast models. The Scanner segment includes its iTero scanner and OrthoCAD services.</v>
      </c>
      <c r="E6" t="str">
        <f t="shared" si="3"/>
        <v>Healthcare Equipment &amp; Supplies</v>
      </c>
      <c r="F6" s="1">
        <f t="shared" si="4"/>
        <v>604.45000000000005</v>
      </c>
      <c r="G6" s="1">
        <f t="shared" si="5"/>
        <v>611</v>
      </c>
      <c r="H6" s="1">
        <f t="shared" si="6"/>
        <v>594.1</v>
      </c>
      <c r="I6" s="1">
        <f t="shared" si="7"/>
        <v>596.9</v>
      </c>
      <c r="J6" s="1">
        <f t="shared" si="8"/>
        <v>591.75</v>
      </c>
      <c r="K6" s="2">
        <f t="shared" si="9"/>
        <v>47834099736</v>
      </c>
      <c r="L6" s="5">
        <f t="shared" si="10"/>
        <v>2.1461999999999998E-2</v>
      </c>
      <c r="M6" s="6" cm="1">
        <f t="array" ref="M6">_FV(A6,"Beta")</f>
        <v>1.6873</v>
      </c>
      <c r="N6" s="7" cm="1">
        <f t="array" ref="N6">_FV(A6,"Volume")</f>
        <v>134</v>
      </c>
      <c r="O6" s="6" cm="1">
        <f t="array" ref="O6">_FV(A6,"P/E",TRUE)</f>
        <v>105.0976</v>
      </c>
      <c r="P6" s="7" cm="1">
        <f t="array" ref="P6">_FV(A6,"Employees")</f>
        <v>18070</v>
      </c>
      <c r="Q6" t="str" cm="1">
        <f t="array" ref="Q6">_FV(A6,"Exchange")</f>
        <v>Nasdaq Stock Market</v>
      </c>
    </row>
    <row r="7" spans="1:17" x14ac:dyDescent="0.25">
      <c r="A7" t="e" vm="6">
        <v>#VALUE!</v>
      </c>
      <c r="B7" t="str">
        <f t="shared" si="0"/>
        <v>GOOGL</v>
      </c>
      <c r="C7" t="str">
        <f t="shared" si="1"/>
        <v>ALPHABET INC.</v>
      </c>
      <c r="D7" t="str">
        <f t="shared" si="2"/>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c>
      <c r="E7" t="str">
        <f t="shared" si="3"/>
        <v>Software &amp; IT Services</v>
      </c>
      <c r="F7" s="1">
        <f t="shared" si="4"/>
        <v>2361.04</v>
      </c>
      <c r="G7" s="1">
        <f t="shared" si="5"/>
        <v>2365.5500000000002</v>
      </c>
      <c r="H7" s="1">
        <f t="shared" si="6"/>
        <v>2311.9549999999999</v>
      </c>
      <c r="I7" s="1">
        <f t="shared" si="7"/>
        <v>2314.89</v>
      </c>
      <c r="J7" s="1">
        <f t="shared" si="8"/>
        <v>2294.13</v>
      </c>
      <c r="K7" s="2">
        <f t="shared" si="9"/>
        <v>1553936000000</v>
      </c>
      <c r="L7" s="5">
        <f t="shared" si="10"/>
        <v>2.9165999999999997E-2</v>
      </c>
      <c r="M7" s="6" cm="1">
        <f t="array" ref="M7">_FV(A7,"Beta")</f>
        <v>1.0177</v>
      </c>
      <c r="N7" s="7" cm="1">
        <f t="array" ref="N7">_FV(A7,"Volume")</f>
        <v>6281</v>
      </c>
      <c r="O7" s="6" cm="1">
        <f t="array" ref="O7">_FV(A7,"P/E",TRUE)</f>
        <v>31.4495</v>
      </c>
      <c r="P7" s="7" cm="1">
        <f t="array" ref="P7">_FV(A7,"Employees")</f>
        <v>139995</v>
      </c>
      <c r="Q7" t="str" cm="1">
        <f t="array" ref="Q7">_FV(A7,"Exchange")</f>
        <v>Nasdaq Stock Market</v>
      </c>
    </row>
    <row r="8" spans="1:17" x14ac:dyDescent="0.25">
      <c r="A8" t="e" vm="7">
        <v>#VALUE!</v>
      </c>
      <c r="B8" t="str">
        <f t="shared" si="0"/>
        <v>GOOG</v>
      </c>
      <c r="C8" t="str">
        <f t="shared" si="1"/>
        <v>ALPHABET INC.</v>
      </c>
      <c r="D8" t="str">
        <f t="shared" si="2"/>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c>
      <c r="E8" t="str">
        <f t="shared" si="3"/>
        <v>Software &amp; IT Services</v>
      </c>
      <c r="F8" s="1">
        <f t="shared" si="4"/>
        <v>2406.67</v>
      </c>
      <c r="G8" s="1">
        <f t="shared" si="5"/>
        <v>2418.48</v>
      </c>
      <c r="H8" s="1">
        <f t="shared" si="6"/>
        <v>2360.11</v>
      </c>
      <c r="I8" s="1">
        <f t="shared" si="7"/>
        <v>2367</v>
      </c>
      <c r="J8" s="1">
        <f t="shared" si="8"/>
        <v>2345.1</v>
      </c>
      <c r="K8" s="2">
        <f t="shared" si="9"/>
        <v>1553936000000</v>
      </c>
      <c r="L8" s="5">
        <f t="shared" si="10"/>
        <v>2.6255000000000001E-2</v>
      </c>
      <c r="M8" s="6" cm="1">
        <f t="array" ref="M8">_FV(A8,"Beta")</f>
        <v>1.0177</v>
      </c>
      <c r="N8" s="7" cm="1">
        <f t="array" ref="N8">_FV(A8,"Volume")</f>
        <v>5630</v>
      </c>
      <c r="O8" s="6" cm="1">
        <f t="array" ref="O8">_FV(A8,"P/E",TRUE)</f>
        <v>32.021700000000003</v>
      </c>
      <c r="P8" s="7" cm="1">
        <f t="array" ref="P8">_FV(A8,"Employees")</f>
        <v>139995</v>
      </c>
      <c r="Q8" t="str" cm="1">
        <f t="array" ref="Q8">_FV(A8,"Exchange")</f>
        <v>Nasdaq Stock Market</v>
      </c>
    </row>
    <row r="9" spans="1:17" x14ac:dyDescent="0.25">
      <c r="A9" t="e" vm="8">
        <v>#VALUE!</v>
      </c>
      <c r="B9" t="str">
        <f t="shared" si="0"/>
        <v>AMZN</v>
      </c>
      <c r="C9" t="str">
        <f t="shared" si="1"/>
        <v>AMAZON.COM, INC.</v>
      </c>
      <c r="D9" t="str">
        <f t="shared" si="2"/>
        <v>Amazon.com, Inc. offers a range of products and services through its Websites. The Company's products include merchandise and content that it purchases for resale from vendors and those offered by third-party sellers. It also manufactures and sells electronic devices. It operates through three segments: North America, International and Amazon Web Services (AWS). Its AWS products include analytics, Amazon Athena, Amazon CloudSearch, Amazon EMR, Amazon Elasticsearch Service, Amazon Kinesis, Amazon Managed Streaming for Apache Kafka, Amazon Redshift, Amazon QuickSight, AWS Data Pipeline, AWS Glue and AWS Lake Formation. AWS solutions include machine learning, analytics and data lakes, Internet of Things, serverless computing, containers, enterprise applications, and storage. In addition, the Company provides services, such as advertising. It also offers Amazon Prime, a membership program that includes free shipping, access to streaming of various movies and television (TV) episodes.</v>
      </c>
      <c r="E9" t="str">
        <f t="shared" si="3"/>
        <v>Diversified Retail</v>
      </c>
      <c r="F9" s="1">
        <f t="shared" si="4"/>
        <v>3244.99</v>
      </c>
      <c r="G9" s="1">
        <f t="shared" si="5"/>
        <v>3257.95</v>
      </c>
      <c r="H9" s="1">
        <f t="shared" si="6"/>
        <v>3210.4992999999999</v>
      </c>
      <c r="I9" s="1">
        <f t="shared" si="7"/>
        <v>3215.5</v>
      </c>
      <c r="J9" s="1">
        <f t="shared" si="8"/>
        <v>3203.08</v>
      </c>
      <c r="K9" s="2">
        <f t="shared" si="9"/>
        <v>1636525363263</v>
      </c>
      <c r="L9" s="5">
        <f t="shared" si="10"/>
        <v>1.3084E-2</v>
      </c>
      <c r="M9" s="6" cm="1">
        <f t="array" ref="M9">_FV(A9,"Beta")</f>
        <v>1.1523000000000001</v>
      </c>
      <c r="N9" s="7" cm="1">
        <f t="array" ref="N9">_FV(A9,"Volume")</f>
        <v>45146</v>
      </c>
      <c r="O9" s="6" cm="1">
        <f t="array" ref="O9">_FV(A9,"P/E",TRUE)</f>
        <v>61.754199999999997</v>
      </c>
      <c r="P9" s="7" cm="1">
        <f t="array" ref="P9">_FV(A9,"Employees")</f>
        <v>1271000</v>
      </c>
      <c r="Q9" t="str" cm="1">
        <f t="array" ref="Q9">_FV(A9,"Exchange")</f>
        <v>Nasdaq Stock Market</v>
      </c>
    </row>
    <row r="10" spans="1:17" x14ac:dyDescent="0.25">
      <c r="A10" t="e" vm="9">
        <v>#VALUE!</v>
      </c>
      <c r="B10" t="str">
        <f t="shared" si="0"/>
        <v>AEP</v>
      </c>
      <c r="C10" t="str">
        <f t="shared" si="1"/>
        <v>AMERICAN ELECTRIC POWER COMPANY, INC.</v>
      </c>
      <c r="D10" t="str">
        <f t="shared" si="2"/>
        <v>American Electric Power Company, Inc. (AEP) is a public utility holding company that owns, directly or indirectly, all of the outstanding common stock of its public utility subsidiaries and varying percentages of other subsidiaries.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AEP Transmission Holdco develops, constructs and operates transmission facilities.</v>
      </c>
      <c r="E10" t="str">
        <f t="shared" si="3"/>
        <v>Electrical Utilities &amp; IPPs</v>
      </c>
      <c r="F10" s="1">
        <f t="shared" si="4"/>
        <v>86.57</v>
      </c>
      <c r="G10" s="1">
        <f t="shared" si="5"/>
        <v>87.12</v>
      </c>
      <c r="H10" s="1">
        <f t="shared" si="6"/>
        <v>86.440399999999997</v>
      </c>
      <c r="I10" s="1">
        <f t="shared" si="7"/>
        <v>87.06</v>
      </c>
      <c r="J10" s="1">
        <f t="shared" si="8"/>
        <v>86.65</v>
      </c>
      <c r="K10" s="2">
        <f t="shared" si="9"/>
        <v>43263392128</v>
      </c>
      <c r="L10" s="5">
        <f t="shared" si="10"/>
        <v>-9.2329999999999995E-4</v>
      </c>
      <c r="M10" s="6" cm="1">
        <f t="array" ref="M10">_FV(A10,"Beta")</f>
        <v>0.25569999999999998</v>
      </c>
      <c r="N10" s="7" cm="1">
        <f t="array" ref="N10">_FV(A10,"Volume")</f>
        <v>16592</v>
      </c>
      <c r="O10" s="6" cm="1">
        <f t="array" ref="O10">_FV(A10,"P/E",TRUE)</f>
        <v>19.305900000000001</v>
      </c>
      <c r="P10" s="7" cm="1">
        <f t="array" ref="P10">_FV(A10,"Employees")</f>
        <v>16787</v>
      </c>
      <c r="Q10" t="str" cm="1">
        <f t="array" ref="Q10">_FV(A10,"Exchange")</f>
        <v>Nasdaq Stock Market</v>
      </c>
    </row>
    <row r="11" spans="1:17" x14ac:dyDescent="0.25">
      <c r="A11" t="e" vm="10">
        <v>#VALUE!</v>
      </c>
      <c r="B11" t="str">
        <f t="shared" si="0"/>
        <v>AMGN</v>
      </c>
      <c r="C11" t="str">
        <f t="shared" si="1"/>
        <v>AMGEN INC.</v>
      </c>
      <c r="D11" t="str">
        <f t="shared" si="2"/>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c>
      <c r="E11" t="str">
        <f t="shared" si="3"/>
        <v>Pharmaceuticals</v>
      </c>
      <c r="F11" s="1">
        <f t="shared" si="4"/>
        <v>247.75</v>
      </c>
      <c r="G11" s="1">
        <f t="shared" si="5"/>
        <v>253.48</v>
      </c>
      <c r="H11" s="1">
        <f t="shared" si="6"/>
        <v>247.57</v>
      </c>
      <c r="I11" s="1">
        <f t="shared" si="7"/>
        <v>250.56</v>
      </c>
      <c r="J11" s="1">
        <f t="shared" si="8"/>
        <v>251.01</v>
      </c>
      <c r="K11" s="2">
        <f t="shared" si="9"/>
        <v>142345753500</v>
      </c>
      <c r="L11" s="5">
        <f t="shared" si="10"/>
        <v>-1.2988E-2</v>
      </c>
      <c r="M11" s="6" cm="1">
        <f t="array" ref="M11">_FV(A11,"Beta")</f>
        <v>0.71030000000000004</v>
      </c>
      <c r="N11" s="7" cm="1">
        <f t="array" ref="N11">_FV(A11,"Volume")</f>
        <v>1398</v>
      </c>
      <c r="O11" s="6" cm="1">
        <f t="array" ref="O11">_FV(A11,"P/E",TRUE)</f>
        <v>20.517099999999999</v>
      </c>
      <c r="P11" s="7" cm="1">
        <f t="array" ref="P11">_FV(A11,"Employees")</f>
        <v>24300</v>
      </c>
      <c r="Q11" t="str" cm="1">
        <f t="array" ref="Q11">_FV(A11,"Exchange")</f>
        <v>Nasdaq Stock Market</v>
      </c>
    </row>
    <row r="12" spans="1:17" x14ac:dyDescent="0.25">
      <c r="A12" t="e" vm="11">
        <v>#VALUE!</v>
      </c>
      <c r="B12" t="str">
        <f t="shared" si="0"/>
        <v>ADI</v>
      </c>
      <c r="C12" t="str">
        <f t="shared" si="1"/>
        <v>ANALOG DEVICES, INC.</v>
      </c>
      <c r="D12" t="str">
        <f t="shared" si="2"/>
        <v>Analog Devices, Inc. (Analog Devices) designs, manufactures and markets a portfolio of solutions that leverage high-performance analog, mixed-signal and digital signal processing technology, including integrated circuits (ICs), algorithms, software and subsystems. Its products include Analog Products, Converters, Amplifiers/Radio Frequency, Other Analog, Power Management and Reference, and Digital Signal Processing Products. The Company is a supplier of data converter products. The Company is a supplier of high-performance amplifiers. Its analog product line also includes products of high performance radio frequency (RF) ICs. The Company's DSPs are used for high-speed numeric calculations. The Company offers its products for applications in various end markets, such as industrial, automotive, consumer and communications. The Company operates in the United States, Rest of North/South America, Europe, Japan and China.</v>
      </c>
      <c r="E12" t="str">
        <f t="shared" si="3"/>
        <v>Semiconductors &amp; Semiconductor Equipment</v>
      </c>
      <c r="F12" s="1">
        <f t="shared" si="4"/>
        <v>162.51</v>
      </c>
      <c r="G12" s="1">
        <f t="shared" si="5"/>
        <v>162.98500000000001</v>
      </c>
      <c r="H12" s="1">
        <f t="shared" si="6"/>
        <v>160.72999999999999</v>
      </c>
      <c r="I12" s="1">
        <f t="shared" si="7"/>
        <v>160.99</v>
      </c>
      <c r="J12" s="1">
        <f t="shared" si="8"/>
        <v>159.36000000000001</v>
      </c>
      <c r="K12" s="2">
        <f t="shared" si="9"/>
        <v>59938059519</v>
      </c>
      <c r="L12" s="5">
        <f t="shared" si="10"/>
        <v>1.9767E-2</v>
      </c>
      <c r="M12" s="6" cm="1">
        <f t="array" ref="M12">_FV(A12,"Beta")</f>
        <v>1.2508999999999999</v>
      </c>
      <c r="N12" s="7" cm="1">
        <f t="array" ref="N12">_FV(A12,"Volume")</f>
        <v>2446</v>
      </c>
      <c r="O12" s="6" cm="1">
        <f t="array" ref="O12">_FV(A12,"P/E",TRUE)</f>
        <v>38.785899999999998</v>
      </c>
      <c r="P12" s="7" cm="1">
        <f t="array" ref="P12">_FV(A12,"Employees")</f>
        <v>15900</v>
      </c>
      <c r="Q12" t="str" cm="1">
        <f t="array" ref="Q12">_FV(A12,"Exchange")</f>
        <v>Nasdaq Stock Market</v>
      </c>
    </row>
    <row r="13" spans="1:17" x14ac:dyDescent="0.25">
      <c r="A13" t="e" vm="12">
        <v>#VALUE!</v>
      </c>
      <c r="B13" t="str">
        <f t="shared" si="0"/>
        <v>ANSS</v>
      </c>
      <c r="C13" t="str">
        <f t="shared" si="1"/>
        <v>ANSYS, INC.</v>
      </c>
      <c r="D13" t="str">
        <f t="shared" si="2"/>
        <v>ANSYS, Inc. (ANSYS) develops and markets engineering simulation software and services used by engineers, designers, researchers and students across a range of industries and academia, including aerospace and defense, automotive, industrial equipment, electronics, biomedical, energy, materials and chemical processing, and semiconductors. The Company focuses on the development of open and flexible solutions that enable users to analyze designs directly on the desktop, providing a common platform for product development, from design concept to final-stage testing and validation. The Company distributes its ANSYS suite of simulation technologies through a network of independent resellers and distributors, and direct sales offices in various locations. Its product portfolio consists of Simulation Platform: ANSYS Workbench, Structures, Fluids, Electronics, Semiconductors, Multiphysics, AIM, Embedded Software, Systems, Three Dimensional (3-D) Direct Modeling and Academic.</v>
      </c>
      <c r="E13" t="str">
        <f t="shared" si="3"/>
        <v>Software &amp; IT Services</v>
      </c>
      <c r="F13" s="1">
        <f t="shared" si="4"/>
        <v>338.77</v>
      </c>
      <c r="G13" s="1">
        <f t="shared" si="5"/>
        <v>340.22</v>
      </c>
      <c r="H13" s="1">
        <f t="shared" si="6"/>
        <v>334.41</v>
      </c>
      <c r="I13" s="1">
        <f t="shared" si="7"/>
        <v>334.68</v>
      </c>
      <c r="J13" s="1">
        <f t="shared" si="8"/>
        <v>330.26</v>
      </c>
      <c r="K13" s="2">
        <f t="shared" si="9"/>
        <v>29524337368</v>
      </c>
      <c r="L13" s="5">
        <f t="shared" si="10"/>
        <v>2.5767999999999999E-2</v>
      </c>
      <c r="M13" s="6" cm="1">
        <f t="array" ref="M13">_FV(A13,"Beta")</f>
        <v>1.2125999999999999</v>
      </c>
      <c r="N13" s="7" cm="1">
        <f t="array" ref="N13">_FV(A13,"Volume")</f>
        <v>213</v>
      </c>
      <c r="O13" s="6" cm="1">
        <f t="array" ref="O13">_FV(A13,"P/E",TRUE)</f>
        <v>64.386200000000002</v>
      </c>
      <c r="P13" s="7" cm="1">
        <f t="array" ref="P13">_FV(A13,"Employees")</f>
        <v>4800</v>
      </c>
      <c r="Q13" t="str" cm="1">
        <f t="array" ref="Q13">_FV(A13,"Exchange")</f>
        <v>Nasdaq Stock Market</v>
      </c>
    </row>
    <row r="14" spans="1:17" x14ac:dyDescent="0.25">
      <c r="A14" t="e" vm="13">
        <v>#VALUE!</v>
      </c>
      <c r="B14" t="str">
        <f t="shared" si="0"/>
        <v>AAPL</v>
      </c>
      <c r="C14" t="str">
        <f t="shared" si="1"/>
        <v>APPLE INC.</v>
      </c>
      <c r="D14" t="str">
        <f t="shared" si="2"/>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c>
      <c r="E14" t="str">
        <f t="shared" si="3"/>
        <v>Computers, Phones &amp; Household Electronics</v>
      </c>
      <c r="F14" s="1">
        <f t="shared" si="4"/>
        <v>127.1</v>
      </c>
      <c r="G14" s="1">
        <f t="shared" si="5"/>
        <v>127.94</v>
      </c>
      <c r="H14" s="1">
        <f t="shared" si="6"/>
        <v>125.94</v>
      </c>
      <c r="I14" s="1">
        <f t="shared" si="7"/>
        <v>126.01</v>
      </c>
      <c r="J14" s="1">
        <f t="shared" si="8"/>
        <v>125.43</v>
      </c>
      <c r="K14" s="2">
        <f t="shared" si="9"/>
        <v>2120997773000</v>
      </c>
      <c r="L14" s="5">
        <f t="shared" si="10"/>
        <v>1.3313999999999999E-2</v>
      </c>
      <c r="M14" s="6" cm="1">
        <f t="array" ref="M14">_FV(A14,"Beta")</f>
        <v>1.208</v>
      </c>
      <c r="N14" s="7" cm="1">
        <f t="array" ref="N14">_FV(A14,"Volume")</f>
        <v>818648</v>
      </c>
      <c r="O14" s="6" cm="1">
        <f t="array" ref="O14">_FV(A14,"P/E",TRUE)</f>
        <v>28.520399999999999</v>
      </c>
      <c r="P14" s="7" cm="1">
        <f t="array" ref="P14">_FV(A14,"Employees")</f>
        <v>147000</v>
      </c>
      <c r="Q14" t="str" cm="1">
        <f t="array" ref="Q14">_FV(A14,"Exchange")</f>
        <v>Nasdaq Stock Market</v>
      </c>
    </row>
    <row r="15" spans="1:17" x14ac:dyDescent="0.25">
      <c r="A15" t="e" vm="14">
        <v>#VALUE!</v>
      </c>
      <c r="B15" t="str">
        <f t="shared" si="0"/>
        <v>AMAT</v>
      </c>
      <c r="C15" t="str">
        <f t="shared" si="1"/>
        <v>APPLIED MATERIALS, INC.</v>
      </c>
      <c r="D15" t="str">
        <f t="shared" si="2"/>
        <v>Applied Materials, Inc. provides manufacturing equipment, services and software to the global semiconductor, display and related industries. The Company's segments are Semiconductor Systems, which includes semiconductor capital equipment for etch, rapid thermal processing, deposition, chemical mechanical planarization, metrology and inspection, wafer packaging, and ion implantation; Applied Global Services, which provides integrated solutions to optimize equipment and fab performance and productivity; Display and Adjacent Markets, which includes products for manufacturing liquid crystal displays, organic light-emitting diodes, upgrades and roll-to-roll Web coating systems and other display technologies for televisions, personal computers, smart phones and other consumer-oriented devices, and Corporate and Other segment, which includes revenues from products, as well as costs of products sold for fabricating solar photovoltaic cells and modules, and certain operating expenses.</v>
      </c>
      <c r="E15" t="str">
        <f t="shared" si="3"/>
        <v>Semiconductors &amp; Semiconductor Equipment</v>
      </c>
      <c r="F15" s="1">
        <f t="shared" si="4"/>
        <v>134.58000000000001</v>
      </c>
      <c r="G15" s="1">
        <f t="shared" si="5"/>
        <v>135.63</v>
      </c>
      <c r="H15" s="1">
        <f t="shared" si="6"/>
        <v>129.59</v>
      </c>
      <c r="I15" s="1">
        <f t="shared" si="7"/>
        <v>130.19</v>
      </c>
      <c r="J15" s="1">
        <f t="shared" si="8"/>
        <v>128.66</v>
      </c>
      <c r="K15" s="2">
        <f t="shared" si="9"/>
        <v>123498790464</v>
      </c>
      <c r="L15" s="5">
        <f t="shared" si="10"/>
        <v>4.6012999999999998E-2</v>
      </c>
      <c r="M15" s="6" cm="1">
        <f t="array" ref="M15">_FV(A15,"Beta")</f>
        <v>1.4523999999999999</v>
      </c>
      <c r="N15" s="7" cm="1">
        <f t="array" ref="N15">_FV(A15,"Volume")</f>
        <v>62776</v>
      </c>
      <c r="O15" s="6" cm="1">
        <f t="array" ref="O15">_FV(A15,"P/E",TRUE)</f>
        <v>28.0547</v>
      </c>
      <c r="P15" s="7" cm="1">
        <f t="array" ref="P15">_FV(A15,"Employees")</f>
        <v>24000</v>
      </c>
      <c r="Q15" t="str" cm="1">
        <f t="array" ref="Q15">_FV(A15,"Exchange")</f>
        <v>Nasdaq Stock Market</v>
      </c>
    </row>
    <row r="16" spans="1:17" x14ac:dyDescent="0.25">
      <c r="A16" t="e" vm="15">
        <v>#VALUE!</v>
      </c>
      <c r="B16" t="str">
        <f t="shared" si="0"/>
        <v>ASML</v>
      </c>
      <c r="C16" t="str">
        <f t="shared" si="1"/>
        <v>ASML Holding NV</v>
      </c>
      <c r="D16" t="str">
        <f t="shared" si="2"/>
        <v>ASML Holding N.V. is a holding company. The Company is a manufacturer of chip-making equipment. The Company is engaged in the development, production, marketing, selling and servicing of semiconductor equipment systems, consisting of lithography systems. The Company's products include systems, and installed base products and services. The Company's principal operations are in the Netherlands, the United States and Asia. The Company offers TWINSCAN systems, equipped with lithography system with a mercury lamp as light source (i-line), Krypton Fluoride (KrF) and Argon Fluoride (ArF) light sources for 300 millimeter processing wafers for manufacturing environments for which imaging at a small resolution is required. TWINSCAN systems also include immersion lithography systems (TWINSCAN immersion systems). The Company also offers NXE systems, which are equipped with extreme ultraviolet (EUV) light source technology. The Company offers YieldStar, a wafer metrology system.</v>
      </c>
      <c r="E16" t="str">
        <f t="shared" si="3"/>
        <v>Semiconductors &amp; Semiconductor Equipment</v>
      </c>
      <c r="F16" s="1">
        <f t="shared" si="4"/>
        <v>658.95</v>
      </c>
      <c r="G16" s="1">
        <f t="shared" si="5"/>
        <v>662.25900000000001</v>
      </c>
      <c r="H16" s="1">
        <f t="shared" si="6"/>
        <v>645.76</v>
      </c>
      <c r="I16" s="1">
        <f t="shared" si="7"/>
        <v>647.5</v>
      </c>
      <c r="J16" s="1">
        <f t="shared" si="8"/>
        <v>639.22</v>
      </c>
      <c r="K16" s="3">
        <f t="shared" si="9"/>
        <v>269465600000</v>
      </c>
      <c r="L16" s="5">
        <f t="shared" si="10"/>
        <v>3.0865999999999998E-2</v>
      </c>
      <c r="M16" s="6" cm="1">
        <f t="array" ref="M16">_FV(A16,"Beta")</f>
        <v>1.0599000000000001</v>
      </c>
      <c r="N16" s="7" cm="1">
        <f t="array" ref="N16">_FV(A16,"Volume")</f>
        <v>67827</v>
      </c>
      <c r="O16" s="6" cm="1">
        <f t="array" ref="O16">_FV(A16,"P/E",TRUE)</f>
        <v>52.062800000000003</v>
      </c>
      <c r="P16" s="7" cm="1">
        <f t="array" ref="P16">_FV(A16,"Employees")</f>
        <v>27248</v>
      </c>
      <c r="Q16" t="str" cm="1">
        <f t="array" ref="Q16">_FV(A16,"Exchange")</f>
        <v>Nasdaq Stock Market</v>
      </c>
    </row>
    <row r="17" spans="1:17" x14ac:dyDescent="0.25">
      <c r="A17" t="e" vm="16">
        <v>#VALUE!</v>
      </c>
      <c r="B17" t="str">
        <f t="shared" si="0"/>
        <v>TEAM</v>
      </c>
      <c r="C17" t="str">
        <f t="shared" si="1"/>
        <v>ATLASSIAN CORPORATION PLC</v>
      </c>
      <c r="D17" t="str">
        <f t="shared" si="2"/>
        <v>Atlassian Corporation Plc is a holding company. The Company offers a range of team collaboration products. The Company offers products, including JIRA, Confluence, HipChat, Bitbucket and JIRA Service Desk, for software developers, information technology (IT) managers and knowledge workers. The Company offers JIRA for team planning and project management; Confluence for team content creation and sharing; HipChat for team real-time messaging and communications; Bitbucket for team code sharing and management, and JIRA Service Desk for team service and support applications. JIRA allows teams to organize their work into projects and customize dashboards for those projects to keep their teams aligned and on track. Confluence provides a system for organizing, sharing and securing content in spaces arranged by team, project, department and others. The Company also offers additional tools for software developers, such as FishEye, Clover, Crowd, Crucible, Bamboo and SourceTree.</v>
      </c>
      <c r="E17" t="str">
        <f t="shared" si="3"/>
        <v>Software &amp; IT Services</v>
      </c>
      <c r="F17" s="1">
        <f t="shared" si="4"/>
        <v>222.6</v>
      </c>
      <c r="G17" s="1">
        <f t="shared" si="5"/>
        <v>227.4999</v>
      </c>
      <c r="H17" s="1">
        <f t="shared" si="6"/>
        <v>221.7</v>
      </c>
      <c r="I17" s="1">
        <f t="shared" si="7"/>
        <v>224.21</v>
      </c>
      <c r="J17" s="1">
        <f t="shared" si="8"/>
        <v>223.65</v>
      </c>
      <c r="K17" s="2">
        <f t="shared" si="9"/>
        <v>55663756680</v>
      </c>
      <c r="L17" s="5">
        <f t="shared" si="10"/>
        <v>-4.6949999999999995E-3</v>
      </c>
      <c r="M17" s="6" cm="1">
        <f t="array" ref="M17">_FV(A17,"Beta")</f>
        <v>0.8276</v>
      </c>
      <c r="N17" s="7" cm="1">
        <f t="array" ref="N17">_FV(A17,"Volume")</f>
        <v>3480</v>
      </c>
      <c r="O17" t="e" cm="1" vm="17">
        <f t="array" ref="O17">_FV(A17,"P/E",TRUE)</f>
        <v>#VALUE!</v>
      </c>
      <c r="P17" s="7" cm="1">
        <f t="array" ref="P17">_FV(A17,"Employees")</f>
        <v>4907</v>
      </c>
      <c r="Q17" t="str" cm="1">
        <f t="array" ref="Q17">_FV(A17,"Exchange")</f>
        <v>Nasdaq Stock Market</v>
      </c>
    </row>
    <row r="18" spans="1:17" x14ac:dyDescent="0.25">
      <c r="A18" t="e" vm="18">
        <v>#VALUE!</v>
      </c>
      <c r="B18" t="str">
        <f t="shared" si="0"/>
        <v>ADSK</v>
      </c>
      <c r="C18" t="str">
        <f t="shared" si="1"/>
        <v>AUTODESK, INC.</v>
      </c>
      <c r="D18" t="str">
        <f t="shared" si="2"/>
        <v>Autodesk, Inc. is a design software and services company, offering customers productive business solutions through technology products and services. The Company's segments include Architecture, Engineering and Construction (AEC), Platform Solutions and Emerging Business (PSEB), Manufacturing (MFG), and Media and Entertainment (M&amp;E). The Company serves customers in the architecture, engineering and construction; product design and manufacturing; and digital media and entertainment industries. The Company's product development and manufacturing software provides manufacturers in automotive, transportation, industrial machinery, consumer products and building products with digital engineering solutions. The Company's product offerings include, AutoCAD, AutoCAD LT, Industry Collections, 3ds Max, Maya, Revit, Inventor, AutoCAD Civil three dimensional (3D), CAM Solutions, Fusion 360, BIM 360 and Shotgun.</v>
      </c>
      <c r="E18" t="str">
        <f t="shared" si="3"/>
        <v>Software &amp; IT Services</v>
      </c>
      <c r="F18" s="1">
        <f t="shared" si="4"/>
        <v>287.48</v>
      </c>
      <c r="G18" s="1">
        <f t="shared" si="5"/>
        <v>288.51499999999999</v>
      </c>
      <c r="H18" s="1">
        <f t="shared" si="6"/>
        <v>283.83</v>
      </c>
      <c r="I18" s="1">
        <f t="shared" si="7"/>
        <v>285.29000000000002</v>
      </c>
      <c r="J18" s="1">
        <f t="shared" si="8"/>
        <v>281.68</v>
      </c>
      <c r="K18" s="2">
        <f t="shared" si="9"/>
        <v>63263682492</v>
      </c>
      <c r="L18" s="5">
        <f t="shared" si="10"/>
        <v>2.0590999999999998E-2</v>
      </c>
      <c r="M18" s="6" cm="1">
        <f t="array" ref="M18">_FV(A18,"Beta")</f>
        <v>1.3317000000000001</v>
      </c>
      <c r="N18" s="7" cm="1">
        <f t="array" ref="N18">_FV(A18,"Volume")</f>
        <v>356</v>
      </c>
      <c r="O18" s="6" cm="1">
        <f t="array" ref="O18">_FV(A18,"P/E",TRUE)</f>
        <v>52.843299999999999</v>
      </c>
      <c r="P18" s="7" cm="1">
        <f t="array" ref="P18">_FV(A18,"Employees")</f>
        <v>11500</v>
      </c>
      <c r="Q18" t="str" cm="1">
        <f t="array" ref="Q18">_FV(A18,"Exchange")</f>
        <v>Nasdaq Stock Market</v>
      </c>
    </row>
    <row r="19" spans="1:17" x14ac:dyDescent="0.25">
      <c r="A19" t="e" vm="19">
        <v>#VALUE!</v>
      </c>
      <c r="B19" t="str">
        <f t="shared" si="0"/>
        <v>ADP</v>
      </c>
      <c r="C19" t="str">
        <f t="shared" si="1"/>
        <v>AUTOMATIC DATA PROCESSING, INC.</v>
      </c>
      <c r="D19" t="str">
        <f t="shared" si="2"/>
        <v>Automatic Data Processing, Inc. (ADP) is a provider of human capital management (HCM) solutions to employers, offering solutions to businesses of various sizes. The Company also provides business process outsourcing solutions. Its segments include Employer Services and Professional Employer Organization (PEO) Services. The Employer Services segment offers a range of human resources (HR) business process outsourcing and technology-enabled HCM solutions. These offerings include payroll services, benefits administration, talent management, HR management, time and attendance management, insurance services, retirement services, and tax and compliance services. ADP TotalSource, ADP's PEO business, offers small and mid-sized businesses a HR outsourcing solution through a co-employment model. As a PEO, ADP TotalSource provides HR management services while the client continues to direct the day-to-day job-related duties of the employees.</v>
      </c>
      <c r="E19" t="str">
        <f t="shared" si="3"/>
        <v>Software &amp; IT Services</v>
      </c>
      <c r="F19" s="1">
        <f t="shared" si="4"/>
        <v>197.04</v>
      </c>
      <c r="G19" s="1">
        <f t="shared" si="5"/>
        <v>198.35</v>
      </c>
      <c r="H19" s="1">
        <f t="shared" si="6"/>
        <v>196.18</v>
      </c>
      <c r="I19" s="1">
        <f t="shared" si="7"/>
        <v>196.46</v>
      </c>
      <c r="J19" s="1">
        <f t="shared" si="8"/>
        <v>195.28</v>
      </c>
      <c r="K19" s="2">
        <f t="shared" si="9"/>
        <v>83844125832</v>
      </c>
      <c r="L19" s="5">
        <f t="shared" si="10"/>
        <v>9.0130000000000002E-3</v>
      </c>
      <c r="M19" s="6" cm="1">
        <f t="array" ref="M19">_FV(A19,"Beta")</f>
        <v>0.72389999999999999</v>
      </c>
      <c r="N19" s="7" cm="1">
        <f t="array" ref="N19">_FV(A19,"Volume")</f>
        <v>15</v>
      </c>
      <c r="O19" s="6" cm="1">
        <f t="array" ref="O19">_FV(A19,"P/E",TRUE)</f>
        <v>34.286099999999998</v>
      </c>
      <c r="P19" s="7" cm="1">
        <f t="array" ref="P19">_FV(A19,"Employees")</f>
        <v>58000</v>
      </c>
      <c r="Q19" t="str" cm="1">
        <f t="array" ref="Q19">_FV(A19,"Exchange")</f>
        <v>Nasdaq Stock Market</v>
      </c>
    </row>
    <row r="20" spans="1:17" x14ac:dyDescent="0.25">
      <c r="A20" t="e" vm="20">
        <v>#VALUE!</v>
      </c>
      <c r="B20" t="str">
        <f t="shared" si="0"/>
        <v>BIDU</v>
      </c>
      <c r="C20" t="str">
        <f t="shared" si="1"/>
        <v>Baidu, Inc.</v>
      </c>
      <c r="D20" t="str">
        <f t="shared" si="2"/>
        <v>Baidu Inc is a Chinese language Internet search provider. The Company offers a Chinese language search platform on its Baidu.com Website that enables users to find information online, including Webpages, news, images, documents and multimedia files, through links provided on its Website. The Company operates through two segments, Baidu Core segment and iQIYI segment. Baidu Core mainly provides search-based, feed-based, and other online marketing services, as well as products and services from the Company’s new artificial intelligence (AI) initiatives. Within Baidu Core, the Company’s product and services offerings are categorized as Mobile Ecosystem, Baidu AI Cloud and Intelligent Driving &amp; Other Growth Initiatives. iQIYI is an online entertainment service provider that offers original, professionally produced and partner-generated content on its platform.</v>
      </c>
      <c r="E20" t="str">
        <f t="shared" si="3"/>
        <v>Software &amp; IT Services</v>
      </c>
      <c r="F20" s="1">
        <f t="shared" si="4"/>
        <v>188.96</v>
      </c>
      <c r="G20" s="1">
        <f t="shared" si="5"/>
        <v>190.54</v>
      </c>
      <c r="H20" s="1">
        <f t="shared" si="6"/>
        <v>187.6</v>
      </c>
      <c r="I20" s="1">
        <f t="shared" si="7"/>
        <v>189.01</v>
      </c>
      <c r="J20" s="1">
        <f t="shared" si="8"/>
        <v>189.53</v>
      </c>
      <c r="K20" s="4">
        <f t="shared" si="9"/>
        <v>66817238592</v>
      </c>
      <c r="L20" s="5">
        <f t="shared" si="10"/>
        <v>-3.0070000000000001E-3</v>
      </c>
      <c r="M20" s="6" cm="1">
        <f t="array" ref="M20">_FV(A20,"Beta")</f>
        <v>1.0306999999999999</v>
      </c>
      <c r="N20" s="7" cm="1">
        <f t="array" ref="N20">_FV(A20,"Volume")</f>
        <v>89459</v>
      </c>
      <c r="O20" s="6" cm="1">
        <f t="array" ref="O20">_FV(A20,"P/E",TRUE)</f>
        <v>8.9138000000000002</v>
      </c>
      <c r="P20" s="7" cm="1">
        <f t="array" ref="P20">_FV(A20,"Employees")</f>
        <v>41000</v>
      </c>
      <c r="Q20" t="str" cm="1">
        <f t="array" ref="Q20">_FV(A20,"Exchange")</f>
        <v>Nasdaq Stock Market</v>
      </c>
    </row>
    <row r="21" spans="1:17" x14ac:dyDescent="0.25">
      <c r="A21" t="e" vm="21">
        <v>#VALUE!</v>
      </c>
      <c r="B21" t="str">
        <f t="shared" si="0"/>
        <v>BIIB</v>
      </c>
      <c r="C21" t="str">
        <f t="shared" si="1"/>
        <v>BIOGEN INC.</v>
      </c>
      <c r="D21" t="str">
        <f t="shared" si="2"/>
        <v>Biogen Inc. is a biopharmaceutical company. The Company focuses on discovering, developing, manufacturing and delivering therapies to people living with serious neurological, rare and autoimmune diseases. The Company markets products, including TECFIDERA, AVONEX, PLEGRIDY, TYSABRI, ZINBRYTA and FAMPYRA for multiple sclerosis (MS), FUMADERM for the treatment of severe plaque psoriasis and SPINRAZA for the treatment of spinal muscular atrophy (SMA). It also has a collaboration agreement with Genentech, Inc. (Genentech), a member of the Roche Group, with respect to RITUXAN for the treatment of non-Hodgkin's lymphoma, chronic lymphocytic leukemia (CLL) and other conditions, GAZYVA indicated for the treatment of CLL and follicular lymphoma, and other anti-CD20 therapies. The Company's product candidate includes OCREVUS; Biosimilar adalimumab; Aducanumab; E2609; BIIB074; BAN2401; Opicinumab; CIRARA; BIIB061; BIIB054; BIIB067, and BIIB068.</v>
      </c>
      <c r="E21" t="str">
        <f t="shared" si="3"/>
        <v>Pharmaceuticals</v>
      </c>
      <c r="F21" s="1">
        <f t="shared" si="4"/>
        <v>278.86</v>
      </c>
      <c r="G21" s="1">
        <f t="shared" si="5"/>
        <v>287.26990000000001</v>
      </c>
      <c r="H21" s="1">
        <f t="shared" si="6"/>
        <v>277.95999999999998</v>
      </c>
      <c r="I21" s="1">
        <f t="shared" si="7"/>
        <v>285.60000000000002</v>
      </c>
      <c r="J21" s="1">
        <f t="shared" si="8"/>
        <v>283.19</v>
      </c>
      <c r="K21" s="2">
        <f t="shared" si="9"/>
        <v>41983683642</v>
      </c>
      <c r="L21" s="5">
        <f t="shared" si="10"/>
        <v>-1.529E-2</v>
      </c>
      <c r="M21" s="6" cm="1">
        <f t="array" ref="M21">_FV(A21,"Beta")</f>
        <v>0.43269999999999997</v>
      </c>
      <c r="N21" s="7" cm="1">
        <f t="array" ref="N21">_FV(A21,"Volume")</f>
        <v>450</v>
      </c>
      <c r="O21" s="6" cm="1">
        <f t="array" ref="O21">_FV(A21,"P/E",TRUE)</f>
        <v>14.6287</v>
      </c>
      <c r="P21" s="7" cm="1">
        <f t="array" ref="P21">_FV(A21,"Employees")</f>
        <v>9100</v>
      </c>
      <c r="Q21" t="str" cm="1">
        <f t="array" ref="Q21">_FV(A21,"Exchange")</f>
        <v>Nasdaq Stock Market</v>
      </c>
    </row>
    <row r="22" spans="1:17" x14ac:dyDescent="0.25">
      <c r="A22" t="e" vm="22">
        <v>#VALUE!</v>
      </c>
      <c r="B22" t="str">
        <f t="shared" si="0"/>
        <v>BKNG</v>
      </c>
      <c r="C22" t="str">
        <f t="shared" si="1"/>
        <v>BOOKING HOLDINGS INC.</v>
      </c>
      <c r="D22" t="str">
        <f t="shared" si="2"/>
        <v>Booking Holdings Inc., formerly The Priceline Group Inc., is a provider of travel and restaurant online reservation and related services. The Company, through its online travel companies (OTCs), connects consumers wishing to make travel reservations with providers of travel services across the world. It offers consumers an array of accommodation reservations (including hotels, bed and breakfasts, hostels, apartments, vacation rentals and other properties) through its Booking.com, priceline.com and agoda.com brands. Its other brands include KAYAK, Rentalcars.com and OpenTable, Inc. (OpenTable). As of December 31, 2016, Booking.com offered accommodation reservation services for over 1,115,000 properties in over 220 countries and territories on its various Websites and in over 40 languages, which included over 568,000 vacation rental properties.</v>
      </c>
      <c r="E22" t="str">
        <f t="shared" si="3"/>
        <v>Hotels &amp; Entertainment Services</v>
      </c>
      <c r="F22" s="1">
        <f t="shared" si="4"/>
        <v>2348.48</v>
      </c>
      <c r="G22" s="1">
        <f t="shared" si="5"/>
        <v>2356.15</v>
      </c>
      <c r="H22" s="1">
        <f t="shared" si="6"/>
        <v>2300.2017000000001</v>
      </c>
      <c r="I22" s="1">
        <f t="shared" si="7"/>
        <v>2301.7199999999998</v>
      </c>
      <c r="J22" s="1">
        <f t="shared" si="8"/>
        <v>2293.38</v>
      </c>
      <c r="K22" s="2">
        <f t="shared" si="9"/>
        <v>96411703228</v>
      </c>
      <c r="L22" s="5">
        <f t="shared" si="10"/>
        <v>2.4026000000000002E-2</v>
      </c>
      <c r="M22" s="6" cm="1">
        <f t="array" ref="M22">_FV(A22,"Beta")</f>
        <v>1.2735000000000001</v>
      </c>
      <c r="N22" s="7" cm="1">
        <f t="array" ref="N22">_FV(A22,"Volume")</f>
        <v>179</v>
      </c>
      <c r="O22" s="6" cm="1">
        <f t="array" ref="O22">_FV(A22,"P/E",TRUE)</f>
        <v>138.90819999999999</v>
      </c>
      <c r="P22" s="7" cm="1">
        <f t="array" ref="P22">_FV(A22,"Employees")</f>
        <v>20300</v>
      </c>
      <c r="Q22" t="str" cm="1">
        <f t="array" ref="Q22">_FV(A22,"Exchange")</f>
        <v>Nasdaq Stock Market</v>
      </c>
    </row>
    <row r="23" spans="1:17" x14ac:dyDescent="0.25">
      <c r="A23" t="e" vm="23">
        <v>#VALUE!</v>
      </c>
      <c r="B23" t="str">
        <f t="shared" si="0"/>
        <v>AVGO</v>
      </c>
      <c r="C23" t="str">
        <f t="shared" si="1"/>
        <v>Broadcom Inc.</v>
      </c>
      <c r="D23" t="str">
        <f t="shared" si="2"/>
        <v>Broadcom Inc. is a technology company. The Company designs, develops and supplies a range of semiconductor and infrastructure software solutions. It operates through two segments: semiconductor solutions and infrastructure software. Its semiconductor solutions segment includes semiconductor solution product lines, as well as its Internet protocol (IP) licensing. Its infrastructure software segment includes its mainframe and enterprise software solutions and fiber channel storage area networking business. It develops semiconductor devices with a focus on digital and mixed signal complementary metal oxide semiconductor (CMOS) based devices and analog III-V based products. It provides semiconductor solutions for managing the movement of data in data center, telecom, enterprise, and embedded networking applications. Its mainframe software solutions include solutions for the IBM Z mainframe platform, which runs business applications.</v>
      </c>
      <c r="E23" t="str">
        <f t="shared" si="3"/>
        <v>Semiconductors &amp; Semiconductor Equipment</v>
      </c>
      <c r="F23" s="1">
        <f t="shared" si="4"/>
        <v>459.19</v>
      </c>
      <c r="G23" s="1">
        <f t="shared" si="5"/>
        <v>462.44</v>
      </c>
      <c r="H23" s="1">
        <f t="shared" si="6"/>
        <v>456.35500000000002</v>
      </c>
      <c r="I23" s="1">
        <f t="shared" si="7"/>
        <v>456.92</v>
      </c>
      <c r="J23" s="1">
        <f t="shared" si="8"/>
        <v>451.24</v>
      </c>
      <c r="K23" s="2">
        <f t="shared" si="9"/>
        <v>187488333137</v>
      </c>
      <c r="L23" s="5">
        <f t="shared" si="10"/>
        <v>1.7618000000000002E-2</v>
      </c>
      <c r="M23" s="6" cm="1">
        <f t="array" ref="M23">_FV(A23,"Beta")</f>
        <v>0.9516</v>
      </c>
      <c r="N23" s="7" cm="1">
        <f t="array" ref="N23">_FV(A23,"Volume")</f>
        <v>1402</v>
      </c>
      <c r="O23" s="6" cm="1">
        <f t="array" ref="O23">_FV(A23,"P/E",TRUE)</f>
        <v>53.161099999999998</v>
      </c>
      <c r="P23" s="7" cm="1">
        <f t="array" ref="P23">_FV(A23,"Employees")</f>
        <v>21000</v>
      </c>
      <c r="Q23" t="str" cm="1">
        <f t="array" ref="Q23">_FV(A23,"Exchange")</f>
        <v>Nasdaq Stock Market</v>
      </c>
    </row>
    <row r="24" spans="1:17" x14ac:dyDescent="0.25">
      <c r="A24" t="e" vm="24">
        <v>#VALUE!</v>
      </c>
      <c r="B24" t="str">
        <f t="shared" si="0"/>
        <v>CDNS</v>
      </c>
      <c r="C24" t="str">
        <f t="shared" si="1"/>
        <v>CADENCE DESIGN SYSTEMS, INC.</v>
      </c>
      <c r="D24" t="str">
        <f t="shared" si="2"/>
        <v>Cadence Design Systems, Inc. provides solutions that enable its customers to design electronic products. The Company's product categories include Functional Verification, Digital integrated circuits (IC) Design and Signoff, Custom IC Design and Verification, System Interconnect and Analysis, and intellectual property (IP). Functional verification products are used to verify that the circuitry or the software designed to perform as intended. Digital IC design offerings are used to create representations of a digital circuit or an IC that can be verified for correctness prior to implementation. Custom IC design and verification offerings are used to create schematic and physical representations of circuits down to the transistor level for analog and memory designs. System Interconnect and Analysis offerings are used to develop printed circuit boards and IC packages. Design IP offerings consist of functional blocks, which customers integrate into their ICs for the development process.</v>
      </c>
      <c r="E24" t="str">
        <f t="shared" si="3"/>
        <v>Software &amp; IT Services</v>
      </c>
      <c r="F24" s="1">
        <f t="shared" si="4"/>
        <v>126.33</v>
      </c>
      <c r="G24" s="1">
        <f t="shared" si="5"/>
        <v>127.24</v>
      </c>
      <c r="H24" s="1">
        <f t="shared" si="6"/>
        <v>125.22</v>
      </c>
      <c r="I24" s="1">
        <f t="shared" si="7"/>
        <v>125.23</v>
      </c>
      <c r="J24" s="1">
        <f t="shared" si="8"/>
        <v>123.46</v>
      </c>
      <c r="K24" s="2">
        <f t="shared" si="9"/>
        <v>35153217450</v>
      </c>
      <c r="L24" s="5">
        <f t="shared" si="10"/>
        <v>2.3246000000000003E-2</v>
      </c>
      <c r="M24" s="6" cm="1">
        <f t="array" ref="M24">_FV(A24,"Beta")</f>
        <v>1.0002</v>
      </c>
      <c r="N24" s="7" cm="1">
        <f t="array" ref="N24">_FV(A24,"Volume")</f>
        <v>1291</v>
      </c>
      <c r="O24" s="6" cm="1">
        <f t="array" ref="O24">_FV(A24,"P/E",TRUE)</f>
        <v>54.084000000000003</v>
      </c>
      <c r="P24" s="7" cm="1">
        <f t="array" ref="P24">_FV(A24,"Employees")</f>
        <v>8800</v>
      </c>
      <c r="Q24" t="str" cm="1">
        <f t="array" ref="Q24">_FV(A24,"Exchange")</f>
        <v>Nasdaq Stock Market</v>
      </c>
    </row>
    <row r="25" spans="1:17" x14ac:dyDescent="0.25">
      <c r="A25" t="e" vm="25">
        <v>#VALUE!</v>
      </c>
      <c r="B25" t="str">
        <f t="shared" si="0"/>
        <v>CDW</v>
      </c>
      <c r="C25" t="str">
        <f t="shared" si="1"/>
        <v>CDW CORPORATION</v>
      </c>
      <c r="D25" t="str">
        <f t="shared" si="2"/>
        <v>CDW Corporation (CDW) is a provider of integrated information technology (IT) solutions in the United States, Canada and the United Kingdom. The Company's segments include Corporate, Public and Other. The Corporate segment consists of private sector business customers in the United States based on employee size between Medium/Large customers, which primarily includes organizations with more than 100 employees, and Small Business customers, which primarily includes organizations with up to 100 employees. Its Public segment comprises government agencies and education and healthcare institutions in the United States. Its Other segment includes Canada and CDW UK. The CDW Advanced Services business consists primarily of customized engineering services delivered by technology specialists and engineers, and managed services that include Infrastructure as a Service (IaaS) offerings. The Company has centralized logistics and headquarters functions that provide services to the segments.</v>
      </c>
      <c r="E25" t="str">
        <f t="shared" si="3"/>
        <v>Software &amp; IT Services</v>
      </c>
      <c r="F25" s="1">
        <f t="shared" si="4"/>
        <v>168.56</v>
      </c>
      <c r="G25" s="1">
        <f t="shared" si="5"/>
        <v>169.97810000000001</v>
      </c>
      <c r="H25" s="1">
        <f t="shared" si="6"/>
        <v>168.03</v>
      </c>
      <c r="I25" s="1">
        <f t="shared" si="7"/>
        <v>169.23</v>
      </c>
      <c r="J25" s="1">
        <f t="shared" si="8"/>
        <v>167.67</v>
      </c>
      <c r="K25" s="2">
        <f t="shared" si="9"/>
        <v>23564010000</v>
      </c>
      <c r="L25" s="5">
        <f t="shared" si="10"/>
        <v>5.3080000000000002E-3</v>
      </c>
      <c r="M25" s="6" cm="1">
        <f t="array" ref="M25">_FV(A25,"Beta")</f>
        <v>1.1081000000000001</v>
      </c>
      <c r="N25" s="7" cm="1">
        <f t="array" ref="N25">_FV(A25,"Volume")</f>
        <v>3</v>
      </c>
      <c r="O25" s="6" cm="1">
        <f t="array" ref="O25">_FV(A25,"P/E",TRUE)</f>
        <v>28.5092</v>
      </c>
      <c r="P25" s="7" cm="1">
        <f t="array" ref="P25">_FV(A25,"Employees")</f>
        <v>10000</v>
      </c>
      <c r="Q25" t="str" cm="1">
        <f t="array" ref="Q25">_FV(A25,"Exchange")</f>
        <v>Nasdaq Stock Market</v>
      </c>
    </row>
    <row r="26" spans="1:17" x14ac:dyDescent="0.25">
      <c r="A26" t="e" vm="26">
        <v>#VALUE!</v>
      </c>
      <c r="B26" t="str">
        <f t="shared" si="0"/>
        <v>CERN</v>
      </c>
      <c r="C26" t="str">
        <f t="shared" si="1"/>
        <v>CERNER CORPORATION</v>
      </c>
      <c r="D26" t="str">
        <f t="shared" si="2"/>
        <v>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v>
      </c>
      <c r="E26" t="str">
        <f t="shared" si="3"/>
        <v>Healthcare Equipment &amp; Supplies</v>
      </c>
      <c r="F26" s="1">
        <f t="shared" si="4"/>
        <v>77</v>
      </c>
      <c r="G26" s="1">
        <f t="shared" si="5"/>
        <v>78.004999999999995</v>
      </c>
      <c r="H26" s="1">
        <f t="shared" si="6"/>
        <v>76.95</v>
      </c>
      <c r="I26" s="1">
        <f t="shared" si="7"/>
        <v>77.97</v>
      </c>
      <c r="J26" s="1">
        <f t="shared" si="8"/>
        <v>77.53</v>
      </c>
      <c r="K26" s="2">
        <f t="shared" si="9"/>
        <v>23201416700</v>
      </c>
      <c r="L26" s="5">
        <f t="shared" si="10"/>
        <v>-6.8360000000000001E-3</v>
      </c>
      <c r="M26" s="6" cm="1">
        <f t="array" ref="M26">_FV(A26,"Beta")</f>
        <v>0.73070000000000002</v>
      </c>
      <c r="N26" s="7" cm="1">
        <f t="array" ref="N26">_FV(A26,"Volume")</f>
        <v>320</v>
      </c>
      <c r="O26" s="6" cm="1">
        <f t="array" ref="O26">_FV(A26,"P/E",TRUE)</f>
        <v>29.486699999999999</v>
      </c>
      <c r="P26" s="7" cm="1">
        <f t="array" ref="P26">_FV(A26,"Employees")</f>
        <v>26400</v>
      </c>
      <c r="Q26" t="str" cm="1">
        <f t="array" ref="Q26">_FV(A26,"Exchange")</f>
        <v>Nasdaq Stock Market</v>
      </c>
    </row>
    <row r="27" spans="1:17" x14ac:dyDescent="0.25">
      <c r="A27" t="e" vm="27">
        <v>#VALUE!</v>
      </c>
      <c r="B27" t="str">
        <f t="shared" si="0"/>
        <v>CHTR</v>
      </c>
      <c r="C27" t="str">
        <f t="shared" si="1"/>
        <v>CHARTER COMMUNICATIONS, INC.</v>
      </c>
      <c r="D27" t="str">
        <f t="shared" si="2"/>
        <v>Charter Communications, Inc. is a holding company. The Company is a cable operator in the United States and a broadband communications services company. The Company operates in cable services segment. As of December 31, 2016, the Company was engaged in providing video, Internet and voice services to approximately 26.2 million residential and business customers. In addition, it sells video and online advertising inventory to local, regional and national advertising customers and fiber-delivered communications and managed information technology (IT) solutions to enterprise customers. The Company also owns and operates regional sports networks and local sports, news and lifestyle channels and sells security and home management services to the residential marketplace. The Company offers its customers subscription-based video services, including video on demand (VOD), high definition (HD) television, and digital video recorder (DVR) service), Internet services and voice services.</v>
      </c>
      <c r="E27" t="str">
        <f t="shared" si="3"/>
        <v>Telecommunications Services</v>
      </c>
      <c r="F27" s="1">
        <f t="shared" si="4"/>
        <v>703.13</v>
      </c>
      <c r="G27" s="1">
        <f t="shared" si="5"/>
        <v>707.44</v>
      </c>
      <c r="H27" s="1">
        <f t="shared" si="6"/>
        <v>692.125</v>
      </c>
      <c r="I27" s="1">
        <f t="shared" si="7"/>
        <v>700.29</v>
      </c>
      <c r="J27" s="1">
        <f t="shared" si="8"/>
        <v>692.52</v>
      </c>
      <c r="K27" s="2">
        <f t="shared" si="9"/>
        <v>151364974803</v>
      </c>
      <c r="L27" s="5">
        <f t="shared" si="10"/>
        <v>1.5321E-2</v>
      </c>
      <c r="M27" s="6" cm="1">
        <f t="array" ref="M27">_FV(A27,"Beta")</f>
        <v>0.97689999999999999</v>
      </c>
      <c r="N27" s="7" cm="1">
        <f t="array" ref="N27">_FV(A27,"Volume")</f>
        <v>44</v>
      </c>
      <c r="O27" s="6" cm="1">
        <f t="array" ref="O27">_FV(A27,"P/E",TRUE)</f>
        <v>39.539400000000001</v>
      </c>
      <c r="P27" s="7" cm="1">
        <f t="array" ref="P27">_FV(A27,"Employees")</f>
        <v>96100</v>
      </c>
      <c r="Q27" t="str" cm="1">
        <f t="array" ref="Q27">_FV(A27,"Exchange")</f>
        <v>Nasdaq Stock Market</v>
      </c>
    </row>
    <row r="28" spans="1:17" x14ac:dyDescent="0.25">
      <c r="A28" t="e" vm="28">
        <v>#VALUE!</v>
      </c>
      <c r="B28" t="str">
        <f t="shared" si="0"/>
        <v>CHKP</v>
      </c>
      <c r="C28" t="str">
        <f t="shared" si="1"/>
        <v>CHECK POINT SOFTWARE TECHNOLOGIES LTD.</v>
      </c>
      <c r="D28" t="str">
        <f t="shared" si="2"/>
        <v>Check Point Software Technologies Ltd. (Check point) develops, markets and supports a range of products and services for information technology (IT) security. The Company's products and services are sold to enterprises, service providers, small and medium sized businesses and consumers. It offers enterprises a platform to deploy independent, modular and interoperable security applications (Software Blades), such as firewall, virtual private network (VPN), intrusion prevention system (IPS), Application Control, Anti-Bot, antivirus, data loss prevention (DLP), policy management, event analysis or multi-domain management. The Company offers Software Blades grouped into functional packages to address specific security issues. It has product offerings under these packages, which include Next Generation Firewall, Next Generation Threat Prevention, Next Generation Secure Web Gateway and Next Generation Data Protection.</v>
      </c>
      <c r="E28" t="str">
        <f t="shared" si="3"/>
        <v>Software &amp; IT Services</v>
      </c>
      <c r="F28" s="1">
        <f t="shared" si="4"/>
        <v>119.03</v>
      </c>
      <c r="G28" s="1">
        <f t="shared" si="5"/>
        <v>119.63</v>
      </c>
      <c r="H28" s="1">
        <f t="shared" si="6"/>
        <v>118.34</v>
      </c>
      <c r="I28" s="1">
        <f t="shared" si="7"/>
        <v>118.48</v>
      </c>
      <c r="J28" s="1">
        <f t="shared" si="8"/>
        <v>118.09</v>
      </c>
      <c r="K28" s="2">
        <f t="shared" si="9"/>
        <v>15976470000</v>
      </c>
      <c r="L28" s="5">
        <f t="shared" si="10"/>
        <v>7.9600000000000001E-3</v>
      </c>
      <c r="M28" s="6" cm="1">
        <f t="array" ref="M28">_FV(A28,"Beta")</f>
        <v>0.64429999999999998</v>
      </c>
      <c r="N28" s="7" cm="1">
        <f t="array" ref="N28">_FV(A28,"Volume")</f>
        <v>3</v>
      </c>
      <c r="O28" s="6" cm="1">
        <f t="array" ref="O28">_FV(A28,"P/E",TRUE)</f>
        <v>19.467700000000001</v>
      </c>
      <c r="P28" s="7" cm="1">
        <f t="array" ref="P28">_FV(A28,"Employees")</f>
        <v>5314</v>
      </c>
      <c r="Q28" t="str" cm="1">
        <f t="array" ref="Q28">_FV(A28,"Exchange")</f>
        <v>Nasdaq Stock Market</v>
      </c>
    </row>
    <row r="29" spans="1:17" x14ac:dyDescent="0.25">
      <c r="A29" t="e" vm="29">
        <v>#VALUE!</v>
      </c>
      <c r="B29" t="str">
        <f t="shared" si="0"/>
        <v>CTAS</v>
      </c>
      <c r="C29" t="str">
        <f t="shared" si="1"/>
        <v>CINTAS CORPORATION</v>
      </c>
      <c r="D29" t="str">
        <f t="shared" si="2"/>
        <v>Cintas Corporation is a provider of corporate identity uniforms through rental and sales programs, as well as a provider of related business services, including entrance mats, restroom cleaning services and supplies, carpet and tile cleaning services, first aid and safety services and fire protection products and services. Its segments include uniform rental and facility services, and first aid and safety services. Its uniform rental and facility service segment offers services, which include rental and servicing of uniforms and other garments, including flame resistant clothing, mats, mops and shop towels, and other ancillary items. Its first aid and safety service segment offers services, which include first aid and safety products and services. Rental processing plants, rental branches, first aid and safety facilities, fire protection facilities, direct sales offices, distribution centers and manufacturing facilities are all utilized by the businesses included in All Other.</v>
      </c>
      <c r="E29" t="str">
        <f t="shared" si="3"/>
        <v>Professional &amp; Commercial Services</v>
      </c>
      <c r="F29" s="1">
        <f t="shared" si="4"/>
        <v>354.54</v>
      </c>
      <c r="G29" s="1">
        <f t="shared" si="5"/>
        <v>356.44</v>
      </c>
      <c r="H29" s="1">
        <f t="shared" si="6"/>
        <v>350.21</v>
      </c>
      <c r="I29" s="1">
        <f t="shared" si="7"/>
        <v>351.65</v>
      </c>
      <c r="J29" s="1">
        <f t="shared" si="8"/>
        <v>348.43</v>
      </c>
      <c r="K29" s="2">
        <f t="shared" si="9"/>
        <v>37245561528</v>
      </c>
      <c r="L29" s="5">
        <f t="shared" si="10"/>
        <v>1.7536E-2</v>
      </c>
      <c r="M29" s="6" cm="1">
        <f t="array" ref="M29">_FV(A29,"Beta")</f>
        <v>1.4744999999999999</v>
      </c>
      <c r="N29" s="7" cm="1">
        <f t="array" ref="N29">_FV(A29,"Volume")</f>
        <v>8</v>
      </c>
      <c r="O29" s="6" cm="1">
        <f t="array" ref="O29">_FV(A29,"P/E",TRUE)</f>
        <v>38.9285</v>
      </c>
      <c r="P29" s="7" cm="1">
        <f t="array" ref="P29">_FV(A29,"Employees")</f>
        <v>40000</v>
      </c>
      <c r="Q29" t="str" cm="1">
        <f t="array" ref="Q29">_FV(A29,"Exchange")</f>
        <v>Nasdaq Stock Market</v>
      </c>
    </row>
    <row r="30" spans="1:17" x14ac:dyDescent="0.25">
      <c r="A30" t="e" vm="30">
        <v>#VALUE!</v>
      </c>
      <c r="B30" t="str">
        <f t="shared" si="0"/>
        <v>CSCO</v>
      </c>
      <c r="C30" t="str">
        <f t="shared" si="1"/>
        <v>CISCO SYSTEMS, INC.</v>
      </c>
      <c r="D30" t="str">
        <f t="shared" si="2"/>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c>
      <c r="E30" t="str">
        <f t="shared" si="3"/>
        <v>Communications &amp; Networking</v>
      </c>
      <c r="F30" s="1">
        <f t="shared" si="4"/>
        <v>53.39</v>
      </c>
      <c r="G30" s="1">
        <f t="shared" si="5"/>
        <v>53.765000000000001</v>
      </c>
      <c r="H30" s="1">
        <f t="shared" si="6"/>
        <v>52.79</v>
      </c>
      <c r="I30" s="1">
        <f t="shared" si="7"/>
        <v>52.96</v>
      </c>
      <c r="J30" s="1">
        <f t="shared" si="8"/>
        <v>52.43</v>
      </c>
      <c r="K30" s="2">
        <f t="shared" si="9"/>
        <v>225600192460</v>
      </c>
      <c r="L30" s="5">
        <f t="shared" si="10"/>
        <v>1.831E-2</v>
      </c>
      <c r="M30" s="6" cm="1">
        <f t="array" ref="M30">_FV(A30,"Beta")</f>
        <v>0.89680000000000004</v>
      </c>
      <c r="N30" s="7" cm="1">
        <f t="array" ref="N30">_FV(A30,"Volume")</f>
        <v>1788566</v>
      </c>
      <c r="O30" s="6" cm="1">
        <f t="array" ref="O30">_FV(A30,"P/E",TRUE)</f>
        <v>22.145499999999998</v>
      </c>
      <c r="P30" s="7" cm="1">
        <f t="array" ref="P30">_FV(A30,"Employees")</f>
        <v>77500</v>
      </c>
      <c r="Q30" t="str" cm="1">
        <f t="array" ref="Q30">_FV(A30,"Exchange")</f>
        <v>Nasdaq Stock Market</v>
      </c>
    </row>
    <row r="31" spans="1:17" x14ac:dyDescent="0.25">
      <c r="A31" t="e" vm="31">
        <v>#VALUE!</v>
      </c>
      <c r="B31" t="str">
        <f t="shared" si="0"/>
        <v>CTSH</v>
      </c>
      <c r="C31" t="str">
        <f t="shared" si="1"/>
        <v>COGNIZANT TECHNOLOGY SOLUTIONS CORPORATION</v>
      </c>
      <c r="D31" t="str">
        <f t="shared" si="2"/>
        <v>Cognizant Technology Solutions Corporation is a professional services company. The Company operates through four segments: Financial Services, Healthcare, Manufacturing/Retail/Logistics, and Other. The Financial Services segment includes customers providing banking/transaction processing, capital markets and insurance services. The Healthcare segment includes healthcare providers and payers, as well as life sciences customers, including pharmaceutical, biotech and medical device companies. The Manufacturing/Retail/Logistics segment includes manufacturers, retailers, travel and other hospitality customers, as well as customers providing logistics services. The Other segment includes its information, media and entertainment services, communications and high technology operating segments. Its services include consulting and technology services and outsourcing services. Its outsourcing services include application maintenance, IT infrastructure services and business process services.</v>
      </c>
      <c r="E31" t="str">
        <f t="shared" si="3"/>
        <v>Software &amp; IT Services</v>
      </c>
      <c r="F31" s="1">
        <f t="shared" si="4"/>
        <v>71.099999999999994</v>
      </c>
      <c r="G31" s="1">
        <f t="shared" si="5"/>
        <v>71.885000000000005</v>
      </c>
      <c r="H31" s="1">
        <f t="shared" si="6"/>
        <v>71</v>
      </c>
      <c r="I31" s="1">
        <f t="shared" si="7"/>
        <v>71.75</v>
      </c>
      <c r="J31" s="1">
        <f t="shared" si="8"/>
        <v>71.239999999999995</v>
      </c>
      <c r="K31" s="2">
        <f t="shared" si="9"/>
        <v>37498986090</v>
      </c>
      <c r="L31" s="5">
        <f t="shared" si="10"/>
        <v>-1.9650000000000002E-3</v>
      </c>
      <c r="M31" s="6" cm="1">
        <f t="array" ref="M31">_FV(A31,"Beta")</f>
        <v>1.1549</v>
      </c>
      <c r="N31" s="7" cm="1">
        <f t="array" ref="N31">_FV(A31,"Volume")</f>
        <v>100</v>
      </c>
      <c r="O31" s="6" cm="1">
        <f t="array" ref="O31">_FV(A31,"P/E",TRUE)</f>
        <v>24.948699999999999</v>
      </c>
      <c r="P31" s="7" cm="1">
        <f t="array" ref="P31">_FV(A31,"Employees")</f>
        <v>296500</v>
      </c>
      <c r="Q31" t="str" cm="1">
        <f t="array" ref="Q31">_FV(A31,"Exchange")</f>
        <v>Nasdaq Stock Market</v>
      </c>
    </row>
    <row r="32" spans="1:17" x14ac:dyDescent="0.25">
      <c r="A32" t="e" vm="32">
        <v>#VALUE!</v>
      </c>
      <c r="B32" t="str">
        <f t="shared" si="0"/>
        <v>CMCSA</v>
      </c>
      <c r="C32" t="str">
        <f t="shared" si="1"/>
        <v>COMCAST CORPORATION</v>
      </c>
      <c r="D32" t="str">
        <f t="shared" si="2"/>
        <v>Comcast Corporation is a media and technology company. The Company has two primary businesses: Comcast Cable and NBCUniversal. Its Comcast Cable business operates in the Cable Communications segment. Its NBCUniversal business operates in four business segments: Cable Networks, Broadcast Television, Filmed Entertainment and Theme Parks. Its Cable Communications segment consists of the operations of Comcast Cable, which provides video, high-speed Internet and voice services to residential customers under the XFINITY brand. Its Cable Networks segment consists of a portfolio of national cable networks. Its Broadcast Television segment operates the NBC and Telemundo broadcast networks. Its Filmed Entertainment segment primarily produces, acquires, markets and distributes filmed entertainment across the world, and it also develops, produces and licenses live stage plays. Its Theme Parks segment consists primarily of its Universal theme parks in Orlando, Florida and Hollywood, California.</v>
      </c>
      <c r="E32" t="str">
        <f t="shared" si="3"/>
        <v>Media &amp; Publishing</v>
      </c>
      <c r="F32" s="1">
        <f t="shared" si="4"/>
        <v>55.66</v>
      </c>
      <c r="G32" s="1">
        <f t="shared" si="5"/>
        <v>55.765000000000001</v>
      </c>
      <c r="H32" s="1">
        <f t="shared" si="6"/>
        <v>54.8675</v>
      </c>
      <c r="I32" s="1">
        <f t="shared" si="7"/>
        <v>55.369599999999998</v>
      </c>
      <c r="J32" s="1">
        <f t="shared" si="8"/>
        <v>55.08</v>
      </c>
      <c r="K32" s="2">
        <f t="shared" si="9"/>
        <v>255718125739</v>
      </c>
      <c r="L32" s="5">
        <f t="shared" si="10"/>
        <v>1.0529999999999999E-2</v>
      </c>
      <c r="M32" s="6" cm="1">
        <f t="array" ref="M32">_FV(A32,"Beta")</f>
        <v>1.0390999999999999</v>
      </c>
      <c r="N32" s="7" cm="1">
        <f t="array" ref="N32">_FV(A32,"Volume")</f>
        <v>8098</v>
      </c>
      <c r="O32" s="6" cm="1">
        <f t="array" ref="O32">_FV(A32,"P/E",TRUE)</f>
        <v>22.069500000000001</v>
      </c>
      <c r="P32" s="7" cm="1">
        <f t="array" ref="P32">_FV(A32,"Employees")</f>
        <v>168000</v>
      </c>
      <c r="Q32" t="str" cm="1">
        <f t="array" ref="Q32">_FV(A32,"Exchange")</f>
        <v>Nasdaq Stock Market</v>
      </c>
    </row>
    <row r="33" spans="1:17" x14ac:dyDescent="0.25">
      <c r="A33" t="e" vm="33">
        <v>#VALUE!</v>
      </c>
      <c r="B33" t="str">
        <f t="shared" si="0"/>
        <v>CPRT</v>
      </c>
      <c r="C33" t="str">
        <f t="shared" si="1"/>
        <v>COPART, INC.</v>
      </c>
      <c r="D33" t="str">
        <f t="shared" si="2"/>
        <v>Copart, Inc. (Copart) is a provider of online auctions and vehicle remarketing services in the United States, Canada, the United Kingdom, the United Arab Emirates, Oman, Bahrain, Brazil, Ireland, Spain and India. The Company also provides vehicle remarketing services in Germany. The Company operates through two segments: United States and International. The Company provides vehicle sellers with a range of services to process and sell vehicles primarily over the Internet through its virtual bidding third generation Internet auction-style sales technology (VB3). The Company's service offerings include Online Seller Access, Salvage Estimation Services, Estimating Services, End-Of-Life Vehicle Processing, Virtual Insured Exchange (VIX), Transportation Services, Vehicle Inspection Stations, On-Demand Reporting, Department of Motor Vehicle (DMV) Processing, Flexible Vehicle Processing Programs, Buy It Now, Member Network, Sales Process, Copart Dealer Services, CashForCars.com and U-Pull-It.</v>
      </c>
      <c r="E33" t="str">
        <f t="shared" si="3"/>
        <v>Specialty Retailers</v>
      </c>
      <c r="F33" s="1">
        <f t="shared" si="4"/>
        <v>128.13999999999999</v>
      </c>
      <c r="G33" s="1">
        <f t="shared" si="5"/>
        <v>128.56729999999999</v>
      </c>
      <c r="H33" s="1">
        <f t="shared" si="6"/>
        <v>126.82</v>
      </c>
      <c r="I33" s="1">
        <f t="shared" si="7"/>
        <v>128.30000000000001</v>
      </c>
      <c r="J33" s="1">
        <f t="shared" si="8"/>
        <v>127.02</v>
      </c>
      <c r="K33" s="2">
        <f t="shared" si="9"/>
        <v>30281660379</v>
      </c>
      <c r="L33" s="5">
        <f t="shared" si="10"/>
        <v>8.8179999999999994E-3</v>
      </c>
      <c r="M33" s="6" cm="1">
        <f t="array" ref="M33">_FV(A33,"Beta")</f>
        <v>1.0279</v>
      </c>
      <c r="N33" s="7" cm="1">
        <f t="array" ref="N33">_FV(A33,"Volume")</f>
        <v>79</v>
      </c>
      <c r="O33" s="6" cm="1">
        <f t="array" ref="O33">_FV(A33,"P/E",TRUE)</f>
        <v>36.3369</v>
      </c>
      <c r="P33" s="7" cm="1">
        <f t="array" ref="P33">_FV(A33,"Employees")</f>
        <v>7600</v>
      </c>
      <c r="Q33" t="str" cm="1">
        <f t="array" ref="Q33">_FV(A33,"Exchange")</f>
        <v>Nasdaq Stock Market</v>
      </c>
    </row>
    <row r="34" spans="1:17" x14ac:dyDescent="0.25">
      <c r="A34" t="e" vm="34">
        <v>#VALUE!</v>
      </c>
      <c r="B34" t="str">
        <f t="shared" ref="B34:B65" si="11">_FV(A34,"Ticker symbol",TRUE)</f>
        <v>COST</v>
      </c>
      <c r="C34" t="str">
        <f t="shared" ref="C34:C65" si="12">_FV(A34,"Name")</f>
        <v>COSTCO WHOLESALE CORPORATION</v>
      </c>
      <c r="D34" t="str">
        <f t="shared" ref="D34:D65" si="13">_FV(A34,"Description")</f>
        <v>Costco Wholesale Corporation is engaged in the operation of membership warehouses in the United States and Puerto Rico, Canada, the United Kingdom, Mexico, Japan, Australia, Spain, and through its subsidiaries in Taiwan and Korea. As of August 28, 2016, the Company operated 715 warehouses across the world. The Company's average warehouse space is approximately 144,000 square feet. The Company's warehouses on average operate on a seven-day, 70-hour week. The Company offers merchandise in various categories, which include foods (including dry foods, packaged foods and groceries); sundries (including snack foods, candy, alcoholic and nonalcoholic beverages, and cleaning supplies); hardlines (including appliances, electronics, health and beauty aids, hardware, and garden and patio); fresh foods (including meat, produce, deli and bakery); softlines (including apparel and small appliances), and other (including gas stations and pharmacy).</v>
      </c>
      <c r="E34" t="str">
        <f t="shared" ref="E34:E65" si="14">_FV(A34,"Industry")</f>
        <v>Diversified Retail</v>
      </c>
      <c r="F34" s="1">
        <f t="shared" ref="F34:F65" si="15">_FV(A34,"Price")</f>
        <v>383.45</v>
      </c>
      <c r="G34" s="1">
        <f t="shared" ref="G34:G65" si="16">_FV(A34,"High")</f>
        <v>385.76</v>
      </c>
      <c r="H34" s="1">
        <f t="shared" ref="H34:H65" si="17">_FV(A34,"Low")</f>
        <v>381.89</v>
      </c>
      <c r="I34" s="1">
        <f t="shared" ref="I34:I65" si="18">_FV(A34,"Open")</f>
        <v>384.3374</v>
      </c>
      <c r="J34" s="1">
        <f t="shared" ref="J34:J65" si="19">_FV(A34,"Previous close",TRUE)</f>
        <v>380.72</v>
      </c>
      <c r="K34" s="2">
        <f t="shared" ref="K34:K65" si="20">_FV(A34,"Market cap",TRUE)</f>
        <v>169689585610</v>
      </c>
      <c r="L34" s="5">
        <f t="shared" ref="L34:L65" si="21">_FV(A34,"Change (%)",TRUE)</f>
        <v>7.1709999999999994E-3</v>
      </c>
      <c r="M34" s="6" cm="1">
        <f t="array" ref="M34">_FV(A34,"Beta")</f>
        <v>0.64839999999999998</v>
      </c>
      <c r="N34" s="7" cm="1">
        <f t="array" ref="N34">_FV(A34,"Volume")</f>
        <v>4354</v>
      </c>
      <c r="O34" s="6" cm="1">
        <f t="array" ref="O34">_FV(A34,"P/E",TRUE)</f>
        <v>39.213700000000003</v>
      </c>
      <c r="P34" s="7" cm="1">
        <f t="array" ref="P34">_FV(A34,"Employees")</f>
        <v>156000</v>
      </c>
      <c r="Q34" t="str" cm="1">
        <f t="array" ref="Q34">_FV(A34,"Exchange")</f>
        <v>Nasdaq Stock Market</v>
      </c>
    </row>
    <row r="35" spans="1:17" x14ac:dyDescent="0.25">
      <c r="A35" t="e" vm="35">
        <v>#VALUE!</v>
      </c>
      <c r="B35" t="str">
        <f t="shared" si="11"/>
        <v>CSX</v>
      </c>
      <c r="C35" t="str">
        <f t="shared" si="12"/>
        <v>CSX Corporation</v>
      </c>
      <c r="D35" t="str">
        <f t="shared" si="13"/>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The Company categorizes its products into three primary lines of business: merchandise, intermodal and coal. The Company's intermodal business links customers to railroads through trucks and terminals. The Company's merchandise business consists of shipments in markets, such as agricultural and food products, fertilizers, chemicals, automotive, metals and equipment, minerals and forest products. The Company's coal business transports domestic coal, coke and iron ore to electricity-generating power plants, steel manufacturers and industrial plants, as well as export coal to deep-water port facilities.</v>
      </c>
      <c r="E35" t="str">
        <f t="shared" si="14"/>
        <v>Freight &amp; Logistics Services</v>
      </c>
      <c r="F35" s="1">
        <f t="shared" si="15"/>
        <v>99.35</v>
      </c>
      <c r="G35" s="1">
        <f t="shared" si="16"/>
        <v>99.61</v>
      </c>
      <c r="H35" s="1">
        <f t="shared" si="17"/>
        <v>98.58</v>
      </c>
      <c r="I35" s="1">
        <f t="shared" si="18"/>
        <v>99.2</v>
      </c>
      <c r="J35" s="1">
        <f t="shared" si="19"/>
        <v>98.29</v>
      </c>
      <c r="K35" s="2">
        <f t="shared" si="20"/>
        <v>75247709870</v>
      </c>
      <c r="L35" s="5">
        <f t="shared" si="21"/>
        <v>1.0784E-2</v>
      </c>
      <c r="M35" s="6" cm="1">
        <f t="array" ref="M35">_FV(A35,"Beta")</f>
        <v>1.1632</v>
      </c>
      <c r="N35" s="7" cm="1">
        <f t="array" ref="N35">_FV(A35,"Volume")</f>
        <v>140</v>
      </c>
      <c r="O35" s="6" cm="1">
        <f t="array" ref="O35">_FV(A35,"P/E",TRUE)</f>
        <v>28.1434</v>
      </c>
      <c r="P35" s="7" cm="1">
        <f t="array" ref="P35">_FV(A35,"Employees")</f>
        <v>19000</v>
      </c>
      <c r="Q35" t="str" cm="1">
        <f t="array" ref="Q35">_FV(A35,"Exchange")</f>
        <v>Nasdaq Stock Market</v>
      </c>
    </row>
    <row r="36" spans="1:17" x14ac:dyDescent="0.25">
      <c r="A36" t="e" vm="36">
        <v>#VALUE!</v>
      </c>
      <c r="B36" t="str">
        <f t="shared" si="11"/>
        <v>DXCM</v>
      </c>
      <c r="C36" t="str">
        <f t="shared" si="12"/>
        <v>DEXCOM, INC.</v>
      </c>
      <c r="D36" t="str">
        <f t="shared" si="13"/>
        <v>Dexcom, Inc. is a medical device company. The Company is primarily focused on the design, development and commercialization of continuous glucose monitoring (CGM) systems for use by people with diabetes and by healthcare providers. Its products include Dexcom G6 and Dexcom Share. The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 on the patient’s iPhone, iPod touch, iPad or Android mobile device to securely and wirelessly transmit glucose information to the cloud and then to apps on the mobile devices of up to five designated recipients, who can remotely monitor a patient’s glucose information and receive alert notifications.</v>
      </c>
      <c r="E36" t="str">
        <f t="shared" si="14"/>
        <v>Healthcare Equipment &amp; Supplies</v>
      </c>
      <c r="F36" s="1">
        <f t="shared" si="15"/>
        <v>355.39</v>
      </c>
      <c r="G36" s="1">
        <f t="shared" si="16"/>
        <v>363.01</v>
      </c>
      <c r="H36" s="1">
        <f t="shared" si="17"/>
        <v>343.74</v>
      </c>
      <c r="I36" s="1">
        <f t="shared" si="18"/>
        <v>346.74</v>
      </c>
      <c r="J36" s="1">
        <f t="shared" si="19"/>
        <v>342.09</v>
      </c>
      <c r="K36" s="2">
        <f t="shared" si="20"/>
        <v>34368299139</v>
      </c>
      <c r="L36" s="5">
        <f t="shared" si="21"/>
        <v>3.8879000000000004E-2</v>
      </c>
      <c r="M36" s="6" cm="1">
        <f t="array" ref="M36">_FV(A36,"Beta")</f>
        <v>0.75549999999999995</v>
      </c>
      <c r="N36" s="7" cm="1">
        <f t="array" ref="N36">_FV(A36,"Volume")</f>
        <v>2378</v>
      </c>
      <c r="O36" s="6" cm="1">
        <f t="array" ref="O36">_FV(A36,"P/E",TRUE)</f>
        <v>68.5364</v>
      </c>
      <c r="P36" s="7" cm="1">
        <f t="array" ref="P36">_FV(A36,"Employees")</f>
        <v>5500</v>
      </c>
      <c r="Q36" t="str" cm="1">
        <f t="array" ref="Q36">_FV(A36,"Exchange")</f>
        <v>Nasdaq Stock Market</v>
      </c>
    </row>
    <row r="37" spans="1:17" x14ac:dyDescent="0.25">
      <c r="A37" t="e" vm="37">
        <v>#VALUE!</v>
      </c>
      <c r="B37" t="str">
        <f t="shared" si="11"/>
        <v>DOCU</v>
      </c>
      <c r="C37" t="str">
        <f t="shared" si="12"/>
        <v>DOCUSIGN, INC.</v>
      </c>
      <c r="D37" t="str">
        <f t="shared" si="13"/>
        <v>DocuSign Inc offers DocuSign Agreement Cloud, a software suite for automating the agreement process. It includes DocuSign eSignature, an electronic signature solution that allows an agreement to be signed electronically on a variety of devices. The Agreement Cloud also includes several other applications for automating pre- and post-signature processes, such as automatically generating an agreement from data in other systems, supporting negotiation workflow, collecting payment after signatures, and using artificial intelligence (AI) to analyze a collection of agreements for risks and opportunities. The Agreement Cloud also includes hundreds of integrations to other systems, so agreement processes can integrate with other business processes and data. Its key Agreement Cloud products include DocuSign Contract Lifecycle Management (CLM), Intelligent Insights, Gen for Salesforce, Negotiate for Salesforce, Guided Forms, Click, Identify, Standards-Based Signatures, Payments and eNotary.</v>
      </c>
      <c r="E37" t="str">
        <f t="shared" si="14"/>
        <v>Software &amp; IT Services</v>
      </c>
      <c r="F37" s="1">
        <f t="shared" si="15"/>
        <v>195.55</v>
      </c>
      <c r="G37" s="1">
        <f t="shared" si="16"/>
        <v>198.37</v>
      </c>
      <c r="H37" s="1">
        <f t="shared" si="17"/>
        <v>194.57</v>
      </c>
      <c r="I37" s="1">
        <f t="shared" si="18"/>
        <v>196</v>
      </c>
      <c r="J37" s="1">
        <f t="shared" si="19"/>
        <v>193.75</v>
      </c>
      <c r="K37" s="2">
        <f t="shared" si="20"/>
        <v>38045445355</v>
      </c>
      <c r="L37" s="5">
        <f t="shared" si="21"/>
        <v>9.2899999999999996E-3</v>
      </c>
      <c r="M37" t="e" cm="1" vm="38">
        <f t="array" ref="M37">_FV(A37,"Beta")</f>
        <v>#VALUE!</v>
      </c>
      <c r="N37" s="7" cm="1">
        <f t="array" ref="N37">_FV(A37,"Volume")</f>
        <v>2527</v>
      </c>
      <c r="O37" t="e" cm="1" vm="17">
        <f t="array" ref="O37">_FV(A37,"P/E",TRUE)</f>
        <v>#VALUE!</v>
      </c>
      <c r="P37" s="7" cm="1">
        <f t="array" ref="P37">_FV(A37,"Employees")</f>
        <v>5630</v>
      </c>
      <c r="Q37" t="str" cm="1">
        <f t="array" ref="Q37">_FV(A37,"Exchange")</f>
        <v>Nasdaq Stock Market</v>
      </c>
    </row>
    <row r="38" spans="1:17" x14ac:dyDescent="0.25">
      <c r="A38" t="e" vm="39">
        <v>#VALUE!</v>
      </c>
      <c r="B38" t="str">
        <f t="shared" si="11"/>
        <v>DLTR</v>
      </c>
      <c r="C38" t="str">
        <f t="shared" si="12"/>
        <v>DOLLAR TREE, INC.</v>
      </c>
      <c r="D38" t="str">
        <f t="shared" si="13"/>
        <v>Dollar Tree, Inc. is an operator of discount variety stores. As of January 28, 2017, the Company operated 14,334 stores in 48 states and the District of Columbia, and five Canadian provinces. Its segments include Dollar Tree and Family Dollar. The Dollar Tree segment is the operator of discount variety stores offering merchandise at a fixed price. The Family Dollar segment operates a chain of general merchandise retail discount stores providing consumers with a selection of merchandise in neighborhood stores. Its stores operate under the names of Dollar Tree, Family Dollar and Dollar Tree Canada. As of January 28, 2017, the Dollar Tree segment included 6,360 stores operating under the Dollar Tree and Dollar Tree Canada brands, 11 distribution centers in the United States and two in Canada and a Store Support Center in Chesapeake, Virginia, and 11 distribution centers and a Store Support Center in Matthews, North Carolina under the Family Dollar brand.</v>
      </c>
      <c r="E38" t="str">
        <f t="shared" si="14"/>
        <v>Diversified Retail</v>
      </c>
      <c r="F38" s="1">
        <f t="shared" si="15"/>
        <v>107.2</v>
      </c>
      <c r="G38" s="1">
        <f t="shared" si="16"/>
        <v>109.34</v>
      </c>
      <c r="H38" s="1">
        <f t="shared" si="17"/>
        <v>107.07</v>
      </c>
      <c r="I38" s="1">
        <f t="shared" si="18"/>
        <v>109.05</v>
      </c>
      <c r="J38" s="1">
        <f t="shared" si="19"/>
        <v>108.58</v>
      </c>
      <c r="K38" s="2">
        <f t="shared" si="20"/>
        <v>25085829120</v>
      </c>
      <c r="L38" s="5">
        <f t="shared" si="21"/>
        <v>-1.2709999999999999E-2</v>
      </c>
      <c r="M38" s="6" cm="1">
        <f t="array" ref="M38">_FV(A38,"Beta")</f>
        <v>0.86250000000000004</v>
      </c>
      <c r="N38" s="7" cm="1">
        <f t="array" ref="N38">_FV(A38,"Volume")</f>
        <v>264</v>
      </c>
      <c r="O38" s="6" cm="1">
        <f t="array" ref="O38">_FV(A38,"P/E",TRUE)</f>
        <v>18.9376</v>
      </c>
      <c r="P38" s="7" cm="1">
        <f t="array" ref="P38">_FV(A38,"Employees")</f>
        <v>60217</v>
      </c>
      <c r="Q38" t="str" cm="1">
        <f t="array" ref="Q38">_FV(A38,"Exchange")</f>
        <v>Nasdaq Stock Market</v>
      </c>
    </row>
    <row r="39" spans="1:17" x14ac:dyDescent="0.25">
      <c r="A39" t="e" vm="40">
        <v>#VALUE!</v>
      </c>
      <c r="B39" t="str">
        <f t="shared" si="11"/>
        <v>EBAY</v>
      </c>
      <c r="C39" t="str">
        <f t="shared" si="12"/>
        <v>EBAY INC.</v>
      </c>
      <c r="D39" t="str">
        <f t="shared" si="13"/>
        <v>eBay Inc., is a global commerce company. The Company’s technologies and services are designed to give buyers choice and relevant inventory and enable sellers worldwide to offer their inventory for sale, virtually anytime and anywhere. Its multi-screen approach offers downloadable, applications for iPhone operating system (iOS) and android mobile devices that allow access to some of its websites and vertical shopping experiences. The Company’s platforms are accessible through a traditional online experience, mobile devices and its application programming interfaces (APIs). Its segments include Marketplace and Classifieds. Marketplace includes its online marketplace, its localized counterparts, and the eBay suite of mobile application. Classifieds includes a collection of brands such as Mobile.de, Kijiji, Gumtree, Marktplaats, and eBay Kleinanzeigen.</v>
      </c>
      <c r="E39" t="str">
        <f t="shared" si="14"/>
        <v>Software &amp; IT Services</v>
      </c>
      <c r="F39" s="1">
        <f t="shared" si="15"/>
        <v>60.97</v>
      </c>
      <c r="G39" s="1">
        <f t="shared" si="16"/>
        <v>61.95</v>
      </c>
      <c r="H39" s="1">
        <f t="shared" si="17"/>
        <v>60.93</v>
      </c>
      <c r="I39" s="1">
        <f t="shared" si="18"/>
        <v>61.24</v>
      </c>
      <c r="J39" s="1">
        <f t="shared" si="19"/>
        <v>61.02</v>
      </c>
      <c r="K39" s="2">
        <f t="shared" si="20"/>
        <v>41536525849</v>
      </c>
      <c r="L39" s="5">
        <f t="shared" si="21"/>
        <v>-8.1939999999999997E-4</v>
      </c>
      <c r="M39" s="6" cm="1">
        <f t="array" ref="M39">_FV(A39,"Beta")</f>
        <v>1.1432</v>
      </c>
      <c r="N39" s="7" cm="1">
        <f t="array" ref="N39">_FV(A39,"Volume")</f>
        <v>18329</v>
      </c>
      <c r="O39" s="6" cm="1">
        <f t="array" ref="O39">_FV(A39,"P/E",TRUE)</f>
        <v>15.7974</v>
      </c>
      <c r="P39" s="7" cm="1">
        <f t="array" ref="P39">_FV(A39,"Employees")</f>
        <v>12700</v>
      </c>
      <c r="Q39" t="str" cm="1">
        <f t="array" ref="Q39">_FV(A39,"Exchange")</f>
        <v>Nasdaq Stock Market</v>
      </c>
    </row>
    <row r="40" spans="1:17" x14ac:dyDescent="0.25">
      <c r="A40" t="e" vm="41">
        <v>#VALUE!</v>
      </c>
      <c r="B40" t="str">
        <f t="shared" si="11"/>
        <v>EA</v>
      </c>
      <c r="C40" t="str">
        <f t="shared" si="12"/>
        <v>ELECTRONIC ARTS INC.</v>
      </c>
      <c r="D40" t="str">
        <f t="shared" si="13"/>
        <v>Electronic Arts Inc. develops, markets, publishes and distributes games, content and services that can be played by consumers on a range of platforms, which include consoles, personal computers (PCs), mobile phones and tablets. The Company's games and services are based on a portfolio of intellectual property that includes established brands, such as FIFA, Madden NFL, Star Wars, Battlefield, the Sims and Need for Speed.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Its mobile, tablet and PC free-to-download games and additional content are available through third-party application storefronts, such as the Apple Application Store and Google Play.</v>
      </c>
      <c r="E40" t="str">
        <f t="shared" si="14"/>
        <v>Software &amp; IT Services</v>
      </c>
      <c r="F40" s="1">
        <f t="shared" si="15"/>
        <v>142.09</v>
      </c>
      <c r="G40" s="1">
        <f t="shared" si="16"/>
        <v>142.66900000000001</v>
      </c>
      <c r="H40" s="1">
        <f t="shared" si="17"/>
        <v>140.16999999999999</v>
      </c>
      <c r="I40" s="1">
        <f t="shared" si="18"/>
        <v>141.38999999999999</v>
      </c>
      <c r="J40" s="1">
        <f t="shared" si="19"/>
        <v>140.16999999999999</v>
      </c>
      <c r="K40" s="2">
        <f t="shared" si="20"/>
        <v>40868778340</v>
      </c>
      <c r="L40" s="5">
        <f t="shared" si="21"/>
        <v>1.3697999999999998E-2</v>
      </c>
      <c r="M40" s="6" cm="1">
        <f t="array" ref="M40">_FV(A40,"Beta")</f>
        <v>0.89159999999999995</v>
      </c>
      <c r="N40" s="7" cm="1">
        <f t="array" ref="N40">_FV(A40,"Volume")</f>
        <v>75</v>
      </c>
      <c r="O40" s="6" cm="1">
        <f t="array" ref="O40">_FV(A40,"P/E",TRUE)</f>
        <v>49.576599999999999</v>
      </c>
      <c r="P40" s="7" cm="1">
        <f t="array" ref="P40">_FV(A40,"Employees")</f>
        <v>9800</v>
      </c>
      <c r="Q40" t="str" cm="1">
        <f t="array" ref="Q40">_FV(A40,"Exchange")</f>
        <v>Nasdaq Stock Market</v>
      </c>
    </row>
    <row r="41" spans="1:17" x14ac:dyDescent="0.25">
      <c r="A41" t="e" vm="42">
        <v>#VALUE!</v>
      </c>
      <c r="B41" t="str">
        <f t="shared" si="11"/>
        <v>EXC</v>
      </c>
      <c r="C41" t="str">
        <f t="shared" si="12"/>
        <v>EXELON CORPORATION</v>
      </c>
      <c r="D41" t="str">
        <f t="shared" si="13"/>
        <v>Exelon Corporation is a utility services holding company. The Company, through its subsidiary, Exelon Generation Company, LLC (Generation), is engaged in the energy generation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delivery businesses. It operates through 12 segments: Generation's six segments: Mid-Atlantic, Midwest, New England, New York, ERCOT and Other Power Regions; ComEd; PECO; BGE, and PHI's three utility segments: Pepco, DPL and ACE. Generation's integrated business consists of the generation, physical delivery and marketing of power across geographical regions through its customer-facing business, Constellation, which sells electricity and natural gas to both wholesale and retail customers.</v>
      </c>
      <c r="E41" t="str">
        <f t="shared" si="14"/>
        <v>Electrical Utilities &amp; IPPs</v>
      </c>
      <c r="F41" s="1">
        <f t="shared" si="15"/>
        <v>46.03</v>
      </c>
      <c r="G41" s="1">
        <f t="shared" si="16"/>
        <v>46.27</v>
      </c>
      <c r="H41" s="1">
        <f t="shared" si="17"/>
        <v>45.704999999999998</v>
      </c>
      <c r="I41" s="1">
        <f t="shared" si="18"/>
        <v>46.01</v>
      </c>
      <c r="J41" s="1">
        <f t="shared" si="19"/>
        <v>45.84</v>
      </c>
      <c r="K41" s="2">
        <f t="shared" si="20"/>
        <v>44979374456</v>
      </c>
      <c r="L41" s="5">
        <f t="shared" si="21"/>
        <v>4.1449999999999994E-3</v>
      </c>
      <c r="M41" s="6" cm="1">
        <f t="array" ref="M41">_FV(A41,"Beta")</f>
        <v>0.43070000000000003</v>
      </c>
      <c r="N41" s="7" cm="1">
        <f t="array" ref="N41">_FV(A41,"Volume")</f>
        <v>738</v>
      </c>
      <c r="O41" s="6" cm="1">
        <f t="array" ref="O41">_FV(A41,"P/E",TRUE)</f>
        <v>41.203800000000001</v>
      </c>
      <c r="P41" s="7" cm="1">
        <f t="array" ref="P41">_FV(A41,"Employees")</f>
        <v>32340</v>
      </c>
      <c r="Q41" t="str" cm="1">
        <f t="array" ref="Q41">_FV(A41,"Exchange")</f>
        <v>Nasdaq Stock Market</v>
      </c>
    </row>
    <row r="42" spans="1:17" x14ac:dyDescent="0.25">
      <c r="A42" t="e" vm="43">
        <v>#VALUE!</v>
      </c>
      <c r="B42" t="str">
        <f t="shared" si="11"/>
        <v>FB</v>
      </c>
      <c r="C42" t="str">
        <f t="shared" si="12"/>
        <v>FACEBOOK, INC.</v>
      </c>
      <c r="D42" t="str">
        <f t="shared" si="13"/>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c>
      <c r="E42" t="str">
        <f t="shared" si="14"/>
        <v>Software &amp; IT Services</v>
      </c>
      <c r="F42" s="1">
        <f t="shared" si="15"/>
        <v>324.63</v>
      </c>
      <c r="G42" s="1">
        <f t="shared" si="16"/>
        <v>325.95</v>
      </c>
      <c r="H42" s="1">
        <f t="shared" si="17"/>
        <v>318.02999999999997</v>
      </c>
      <c r="I42" s="1">
        <f t="shared" si="18"/>
        <v>318.20999999999998</v>
      </c>
      <c r="J42" s="1">
        <f t="shared" si="19"/>
        <v>316.23</v>
      </c>
      <c r="K42" s="2">
        <f t="shared" si="20"/>
        <v>920477002950</v>
      </c>
      <c r="L42" s="5">
        <f t="shared" si="21"/>
        <v>2.6563E-2</v>
      </c>
      <c r="M42" s="6" cm="1">
        <f t="array" ref="M42">_FV(A42,"Beta")</f>
        <v>1.3010999999999999</v>
      </c>
      <c r="N42" s="7" cm="1">
        <f t="array" ref="N42">_FV(A42,"Volume")</f>
        <v>102188</v>
      </c>
      <c r="O42" s="6" cm="1">
        <f t="array" ref="O42">_FV(A42,"P/E",TRUE)</f>
        <v>27.8065</v>
      </c>
      <c r="P42" s="7" cm="1">
        <f t="array" ref="P42">_FV(A42,"Employees")</f>
        <v>60654</v>
      </c>
      <c r="Q42" t="str" cm="1">
        <f t="array" ref="Q42">_FV(A42,"Exchange")</f>
        <v>Nasdaq Stock Market</v>
      </c>
    </row>
    <row r="43" spans="1:17" x14ac:dyDescent="0.25">
      <c r="A43" t="e" vm="44">
        <v>#VALUE!</v>
      </c>
      <c r="B43" t="str">
        <f t="shared" si="11"/>
        <v>FAST</v>
      </c>
      <c r="C43" t="str">
        <f t="shared" si="12"/>
        <v>Fastenal Company</v>
      </c>
      <c r="D43" t="str">
        <f t="shared" si="13"/>
        <v>Fastenal Company is engaged in wholesale distribution of industrial and construction supplies. The Company is engaged in fastener distribution, and non-fastener maintenance and supply business. As of December 31, 2016, it distributed these supplies through a network of approximately 2,500 stores. Its customers are in the manufacturing and non-residential construction markets. The manufacturing market includes both original equipment manufacturers (OEM) and maintenance, repair, and operations (MRO). The non-residential construction market includes general, electrical, plumbing, sheet metal and road contractors. Other users of its products include farmers, truckers, railroads, oil exploration, production and refinement companies, mining companies, federal, state, and local governmental entities, schools and certain retail trades. Its original product offerings are fasteners and other industrial and construction supplies, many of which are sold under the Fastenal product name.</v>
      </c>
      <c r="E43" t="str">
        <f t="shared" si="14"/>
        <v>Machinery, Equipment &amp; Components</v>
      </c>
      <c r="F43" s="1">
        <f t="shared" si="15"/>
        <v>52.85</v>
      </c>
      <c r="G43" s="1">
        <f t="shared" si="16"/>
        <v>53.08</v>
      </c>
      <c r="H43" s="1">
        <f t="shared" si="17"/>
        <v>52.384999999999998</v>
      </c>
      <c r="I43" s="1">
        <f t="shared" si="18"/>
        <v>52.575000000000003</v>
      </c>
      <c r="J43" s="1">
        <f t="shared" si="19"/>
        <v>52.37</v>
      </c>
      <c r="K43" s="2">
        <f t="shared" si="20"/>
        <v>30353932420</v>
      </c>
      <c r="L43" s="5">
        <f t="shared" si="21"/>
        <v>9.1660000000000005E-3</v>
      </c>
      <c r="M43" s="6" cm="1">
        <f t="array" ref="M43">_FV(A43,"Beta")</f>
        <v>1.2488999999999999</v>
      </c>
      <c r="N43" s="7" cm="1">
        <f t="array" ref="N43">_FV(A43,"Volume")</f>
        <v>30</v>
      </c>
      <c r="O43" s="6" cm="1">
        <f t="array" ref="O43">_FV(A43,"P/E",TRUE)</f>
        <v>34.765599999999999</v>
      </c>
      <c r="P43" s="7" cm="1">
        <f t="array" ref="P43">_FV(A43,"Employees")</f>
        <v>20532</v>
      </c>
      <c r="Q43" t="str" cm="1">
        <f t="array" ref="Q43">_FV(A43,"Exchange")</f>
        <v>Nasdaq Stock Market</v>
      </c>
    </row>
    <row r="44" spans="1:17" x14ac:dyDescent="0.25">
      <c r="A44" t="e" vm="45">
        <v>#VALUE!</v>
      </c>
      <c r="B44" t="str">
        <f t="shared" si="11"/>
        <v>FISV</v>
      </c>
      <c r="C44" t="str">
        <f t="shared" si="12"/>
        <v>FISERV, INC.</v>
      </c>
      <c r="D44" t="str">
        <f t="shared" si="13"/>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 operates through three segments: Merchant Acceptance (Acceptance), Financial Technology (Fintech) and Payments and Network (Payments). Its Acceptance segment offers a wide range of products and services to merchants around the world. Its Fintech segment is engaged in providing financial institutions with the technology solutions they need to run their operations. Its Payments segment offers products and services required to process digital payment transactions. The Company serves clients around the globe, including banks, credit unions, corporates, associates, government, healthcare, other financial institutions and merchants.</v>
      </c>
      <c r="E44" t="str">
        <f t="shared" si="14"/>
        <v>Professional &amp; Commercial Services</v>
      </c>
      <c r="F44" s="1">
        <f t="shared" si="15"/>
        <v>115.86</v>
      </c>
      <c r="G44" s="1">
        <f t="shared" si="16"/>
        <v>116</v>
      </c>
      <c r="H44" s="1">
        <f t="shared" si="17"/>
        <v>114.36</v>
      </c>
      <c r="I44" s="1">
        <f t="shared" si="18"/>
        <v>115.56</v>
      </c>
      <c r="J44" s="1">
        <f t="shared" si="19"/>
        <v>114.22</v>
      </c>
      <c r="K44" s="2">
        <f t="shared" si="20"/>
        <v>77251902684</v>
      </c>
      <c r="L44" s="5">
        <f t="shared" si="21"/>
        <v>1.4357999999999999E-2</v>
      </c>
      <c r="M44" s="6" cm="1">
        <f t="array" ref="M44">_FV(A44,"Beta")</f>
        <v>0.89219999999999999</v>
      </c>
      <c r="N44" s="7" cm="1">
        <f t="array" ref="N44">_FV(A44,"Volume")</f>
        <v>1208</v>
      </c>
      <c r="O44" s="6" cm="1">
        <f t="array" ref="O44">_FV(A44,"P/E",TRUE)</f>
        <v>90.625399999999999</v>
      </c>
      <c r="P44" s="7" cm="1">
        <f t="array" ref="P44">_FV(A44,"Employees")</f>
        <v>44000</v>
      </c>
      <c r="Q44" t="str" cm="1">
        <f t="array" ref="Q44">_FV(A44,"Exchange")</f>
        <v>Nasdaq Stock Market</v>
      </c>
    </row>
    <row r="45" spans="1:17" x14ac:dyDescent="0.25">
      <c r="A45" t="e" vm="46">
        <v>#VALUE!</v>
      </c>
      <c r="B45" t="str">
        <f t="shared" si="11"/>
        <v>FOXA</v>
      </c>
      <c r="C45" t="str">
        <f t="shared" si="12"/>
        <v>FOX CORPORATION</v>
      </c>
      <c r="D45" t="str">
        <f t="shared" si="13"/>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c>
      <c r="E45" t="str">
        <f t="shared" si="14"/>
        <v>Media &amp; Publishing</v>
      </c>
      <c r="F45" s="1">
        <f t="shared" si="15"/>
        <v>37.44</v>
      </c>
      <c r="G45" s="1">
        <f t="shared" si="16"/>
        <v>37.900100000000002</v>
      </c>
      <c r="H45" s="1">
        <f t="shared" si="17"/>
        <v>37.33</v>
      </c>
      <c r="I45" s="1">
        <f t="shared" si="18"/>
        <v>37.53</v>
      </c>
      <c r="J45" s="1">
        <f t="shared" si="19"/>
        <v>37.58</v>
      </c>
      <c r="K45" s="2">
        <f t="shared" si="20"/>
        <v>21500280000</v>
      </c>
      <c r="L45" s="5">
        <f t="shared" si="21"/>
        <v>-3.725E-3</v>
      </c>
      <c r="M45" t="e" cm="1" vm="38">
        <f t="array" ref="M45">_FV(A45,"Beta")</f>
        <v>#VALUE!</v>
      </c>
      <c r="N45" s="7" cm="1">
        <f t="array" ref="N45">_FV(A45,"Volume")</f>
        <v>13</v>
      </c>
      <c r="O45" s="6" cm="1">
        <f t="array" ref="O45">_FV(A45,"P/E",TRUE)</f>
        <v>11.1434</v>
      </c>
      <c r="P45" s="7" cm="1">
        <f t="array" ref="P45">_FV(A45,"Employees")</f>
        <v>9000</v>
      </c>
      <c r="Q45" t="str" cm="1">
        <f t="array" ref="Q45">_FV(A45,"Exchange")</f>
        <v>Nasdaq Stock Market</v>
      </c>
    </row>
    <row r="46" spans="1:17" x14ac:dyDescent="0.25">
      <c r="A46" t="e" vm="47">
        <v>#VALUE!</v>
      </c>
      <c r="B46" t="str">
        <f t="shared" si="11"/>
        <v>FOX</v>
      </c>
      <c r="C46" t="str">
        <f t="shared" si="12"/>
        <v>FOX CORPORATION</v>
      </c>
      <c r="D46" t="str">
        <f t="shared" si="13"/>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c>
      <c r="E46" t="str">
        <f t="shared" si="14"/>
        <v>Media &amp; Publishing</v>
      </c>
      <c r="F46" s="1">
        <f t="shared" si="15"/>
        <v>36.31</v>
      </c>
      <c r="G46" s="1">
        <f t="shared" si="16"/>
        <v>36.78</v>
      </c>
      <c r="H46" s="1">
        <f t="shared" si="17"/>
        <v>36.01</v>
      </c>
      <c r="I46" s="1">
        <f t="shared" si="18"/>
        <v>36.380000000000003</v>
      </c>
      <c r="J46" s="1">
        <f t="shared" si="19"/>
        <v>36.380000000000003</v>
      </c>
      <c r="K46" s="2">
        <f t="shared" si="20"/>
        <v>21500280000</v>
      </c>
      <c r="L46" s="5">
        <f t="shared" si="21"/>
        <v>-1.9239999999999999E-3</v>
      </c>
      <c r="M46" t="e" cm="1" vm="38">
        <f t="array" ref="M46">_FV(A46,"Beta")</f>
        <v>#VALUE!</v>
      </c>
      <c r="N46" s="7" cm="1">
        <f t="array" ref="N46">_FV(A46,"Volume")</f>
        <v>3</v>
      </c>
      <c r="O46" cm="1">
        <f t="array" ref="O46">_FV(A46,"P/E",TRUE)</f>
        <v>14.3454</v>
      </c>
      <c r="P46" s="7" cm="1">
        <f t="array" ref="P46">_FV(A46,"Employees")</f>
        <v>9000</v>
      </c>
      <c r="Q46" t="str" cm="1">
        <f t="array" ref="Q46">_FV(A46,"Exchange")</f>
        <v>Nasdaq Stock Market</v>
      </c>
    </row>
    <row r="47" spans="1:17" x14ac:dyDescent="0.25">
      <c r="A47" t="e" vm="48">
        <v>#VALUE!</v>
      </c>
      <c r="B47" t="str">
        <f t="shared" si="11"/>
        <v>GILD</v>
      </c>
      <c r="C47" t="str">
        <f t="shared" si="12"/>
        <v>GILEAD SCIENCES, INC.</v>
      </c>
      <c r="D47" t="str">
        <f t="shared" si="13"/>
        <v>Gilead Sciences, Inc. is a research-based biopharmaceutical company that discovers, develops and commercializes medicines in areas of unmet medical need. The Company's portfolio of products and pipeline of investigational drugs includes treatments for Human Immunodeficiency Virus/Acquired Immune Deficiency Syndrome (HIV/AIDS), liver diseases, cancer, inflammatory and respiratory diseases and cardiovascular conditions. Its products for HIV/AIDS patients include Descovy, Odefsey, Genvoya, Stribild, Complera/Eviplera, Truvada, Emtriva, Tybost and Vitekta. Its products for patients with liver diseases include Vemlidy, Epclusa, Harvoni, Sovaldi, Viread and Hepsera. It offers Zydelig to patients with hematology/oncology diseases. Its products for patients with various cardiovascular diseases include Letairis, Ranexa and Lexiscan. Its products for various inflammation/respiratory diseases include Cayston and Tamiflu. It had operations in more than 30 countries, as of December 31, 2016.</v>
      </c>
      <c r="E47" t="str">
        <f t="shared" si="14"/>
        <v>Biotechnology &amp; Medical Research</v>
      </c>
      <c r="F47" s="1">
        <f t="shared" si="15"/>
        <v>67.430000000000007</v>
      </c>
      <c r="G47" s="1">
        <f t="shared" si="16"/>
        <v>69.239999999999995</v>
      </c>
      <c r="H47" s="1">
        <f t="shared" si="17"/>
        <v>67.38</v>
      </c>
      <c r="I47" s="1">
        <f t="shared" si="18"/>
        <v>69.099999999999994</v>
      </c>
      <c r="J47" s="1">
        <f t="shared" si="19"/>
        <v>68.75</v>
      </c>
      <c r="K47" s="2">
        <f t="shared" si="20"/>
        <v>84569222540</v>
      </c>
      <c r="L47" s="5">
        <f t="shared" si="21"/>
        <v>-1.9199999999999998E-2</v>
      </c>
      <c r="M47" s="6" cm="1">
        <f t="array" ref="M47">_FV(A47,"Beta")</f>
        <v>0.39350000000000002</v>
      </c>
      <c r="N47" s="7" cm="1">
        <f t="array" ref="N47">_FV(A47,"Volume")</f>
        <v>13422</v>
      </c>
      <c r="O47" s="6" cm="1">
        <f t="array" ref="O47">_FV(A47,"P/E",TRUE)</f>
        <v>327.7278</v>
      </c>
      <c r="P47" s="7" cm="1">
        <f t="array" ref="P47">_FV(A47,"Employees")</f>
        <v>13600</v>
      </c>
      <c r="Q47" t="str" cm="1">
        <f t="array" ref="Q47">_FV(A47,"Exchange")</f>
        <v>Nasdaq Stock Market</v>
      </c>
    </row>
    <row r="48" spans="1:17" x14ac:dyDescent="0.25">
      <c r="A48" t="e" vm="49">
        <v>#VALUE!</v>
      </c>
      <c r="B48" t="str">
        <f t="shared" si="11"/>
        <v>IDXX</v>
      </c>
      <c r="C48" t="str">
        <f t="shared" si="12"/>
        <v>IDEXX LABORATORIES, INC.</v>
      </c>
      <c r="D48" t="str">
        <f t="shared" si="13"/>
        <v>IDEXX Laboratories, Inc. develops, manufactures and distributes products and provides services for the companion animal veterinary, livestock and poultry, dairy and water testing markets. The Company also sells a line of portable electrolytes and blood gas analyzers for the human point-of-care medical diagnostics market. Its segments include diagnostic and information technology-based products and services for the veterinary market, which the Company refers to as the Companion Animal Group; water quality products; diagnostic products and services for livestock and poultry health, which the Company refers to as Livestock, Poultry and Dairy, and Other operating segment, which combines and presents products for the human point-of-care medical diagnostics market with its pharmaceutical product line and its out-licensing arrangements. Its products and services include point-of-care veterinary diagnostic products, comprising instruments, consumables and rapid assay test kits, among others.</v>
      </c>
      <c r="E48" t="str">
        <f t="shared" si="14"/>
        <v>Healthcare Equipment &amp; Supplies</v>
      </c>
      <c r="F48" s="1">
        <f t="shared" si="15"/>
        <v>549.71</v>
      </c>
      <c r="G48" s="1">
        <f t="shared" si="16"/>
        <v>551.26</v>
      </c>
      <c r="H48" s="1">
        <f t="shared" si="17"/>
        <v>544.255</v>
      </c>
      <c r="I48" s="1">
        <f t="shared" si="18"/>
        <v>545</v>
      </c>
      <c r="J48" s="1">
        <f t="shared" si="19"/>
        <v>539.34</v>
      </c>
      <c r="K48" s="2">
        <f t="shared" si="20"/>
        <v>46879626111</v>
      </c>
      <c r="L48" s="5">
        <f t="shared" si="21"/>
        <v>1.9227000000000001E-2</v>
      </c>
      <c r="M48" s="6" cm="1">
        <f t="array" ref="M48">_FV(A48,"Beta")</f>
        <v>0.88759999999999994</v>
      </c>
      <c r="N48" s="7" cm="1">
        <f t="array" ref="N48">_FV(A48,"Volume")</f>
        <v>33</v>
      </c>
      <c r="O48" s="6" cm="1">
        <f t="array" ref="O48">_FV(A48,"P/E",TRUE)</f>
        <v>69.413300000000007</v>
      </c>
      <c r="P48" s="7" cm="1">
        <f t="array" ref="P48">_FV(A48,"Employees")</f>
        <v>9300</v>
      </c>
      <c r="Q48" t="str" cm="1">
        <f t="array" ref="Q48">_FV(A48,"Exchange")</f>
        <v>Nasdaq Stock Market</v>
      </c>
    </row>
    <row r="49" spans="1:17" x14ac:dyDescent="0.25">
      <c r="A49" t="e" vm="50">
        <v>#VALUE!</v>
      </c>
      <c r="B49" t="str">
        <f t="shared" si="11"/>
        <v>ILMN</v>
      </c>
      <c r="C49" t="str">
        <f t="shared" si="12"/>
        <v>ILLUMINA, INC.</v>
      </c>
      <c r="D49" t="str">
        <f t="shared" si="13"/>
        <v>Illumina, Inc. (Illumina) is a provider of sequencing- and array-based solutions for genetic analysis. The Company operates through two segments: Core Illumina and the consolidated variable interest entities (VIEs), which include the activities of GRAIL, Inc. (GRAIL) and Helix Holdings I, LLC (Helix). Core Illumina consists of its core operations. Core Illumina's products and services serve customers in the research, clinical and applied markets, and enable the adoption of a range of genomic solutions. The Company's portfolio of integrated systems, consumables and analysis tools addresses the range of genomic complexity, price points, and throughput, enabling customers to select the solution for their research or clinical challenge. The Company provides reproductive-health solutions, including noninvasive prenatal testing (NIPT), preimplantation genetic screening and diagnosis, and neonatal and genetic health testing.</v>
      </c>
      <c r="E49" t="str">
        <f t="shared" si="14"/>
        <v>Healthcare Equipment &amp; Supplies</v>
      </c>
      <c r="F49" s="1">
        <f t="shared" si="15"/>
        <v>399.99</v>
      </c>
      <c r="G49" s="1">
        <f t="shared" si="16"/>
        <v>406.88920000000002</v>
      </c>
      <c r="H49" s="1">
        <f t="shared" si="17"/>
        <v>399.79</v>
      </c>
      <c r="I49" s="1">
        <f t="shared" si="18"/>
        <v>403.04</v>
      </c>
      <c r="J49" s="1">
        <f t="shared" si="19"/>
        <v>398.62</v>
      </c>
      <c r="K49" s="2">
        <f t="shared" si="20"/>
        <v>58398540000</v>
      </c>
      <c r="L49" s="5">
        <f t="shared" si="21"/>
        <v>3.437E-3</v>
      </c>
      <c r="M49" s="6" cm="1">
        <f t="array" ref="M49">_FV(A49,"Beta")</f>
        <v>0.94010000000000005</v>
      </c>
      <c r="N49" s="7" cm="1">
        <f t="array" ref="N49">_FV(A49,"Volume")</f>
        <v>247</v>
      </c>
      <c r="O49" s="6" cm="1">
        <f t="array" ref="O49">_FV(A49,"P/E",TRUE)</f>
        <v>93.816800000000001</v>
      </c>
      <c r="P49" s="7" cm="1">
        <f t="array" ref="P49">_FV(A49,"Employees")</f>
        <v>7800</v>
      </c>
      <c r="Q49" t="str" cm="1">
        <f t="array" ref="Q49">_FV(A49,"Exchange")</f>
        <v>Nasdaq Stock Market</v>
      </c>
    </row>
    <row r="50" spans="1:17" x14ac:dyDescent="0.25">
      <c r="A50" t="e" vm="51">
        <v>#VALUE!</v>
      </c>
      <c r="B50" t="str">
        <f t="shared" si="11"/>
        <v>INCY</v>
      </c>
      <c r="C50" t="str">
        <f t="shared" si="12"/>
        <v>INCYTE CORPORATION</v>
      </c>
      <c r="D50" t="str">
        <f t="shared" si="13"/>
        <v>Incyte Corporation is a biopharmaceutical company focused on the discovery, development and commercialization of therapeutics. Its portfolio includes compounds in various stages, ranging from preclinical to late-stage development, and commercialized products, such as JAKAFI (ruxolitinib) and ICLUSIG (ponatinib). JAKAFI (ruxolitinib) is indicated for the treatment of patients with intermediate or high risk myelofibrosis (MF) and for the treatment of patients with polycythemia vera (PV) having had an inadequate response to or are intolerant of hydroxyurea. As of December 31, 2016, the Food and Drug Administration had granted JAKAFI orphan drug status for MF, PV and essential thrombocythemia. The primary target for ICLUSIG is B Cell Receptor-ABL, an abnormal tyrosine kinase that is expressed in chronic myeloid leukemia and Philadelphia-chromosome positive acute lymphoblastic leukemia. The Company also has a portfolio of selective janus associated kinases 1 (JAK1) inhibitors.</v>
      </c>
      <c r="E50" t="str">
        <f t="shared" si="14"/>
        <v>Biotechnology &amp; Medical Research</v>
      </c>
      <c r="F50" s="1">
        <f t="shared" si="15"/>
        <v>82.91</v>
      </c>
      <c r="G50" s="1">
        <f t="shared" si="16"/>
        <v>83.99</v>
      </c>
      <c r="H50" s="1">
        <f t="shared" si="17"/>
        <v>82.79</v>
      </c>
      <c r="I50" s="1">
        <f t="shared" si="18"/>
        <v>83.7</v>
      </c>
      <c r="J50" s="1">
        <f t="shared" si="19"/>
        <v>82.76</v>
      </c>
      <c r="K50" s="2">
        <f t="shared" si="20"/>
        <v>18233857385</v>
      </c>
      <c r="L50" s="5">
        <f t="shared" si="21"/>
        <v>1.812E-3</v>
      </c>
      <c r="M50" s="6" cm="1">
        <f t="array" ref="M50">_FV(A50,"Beta")</f>
        <v>0.80400000000000005</v>
      </c>
      <c r="N50" s="7" cm="1">
        <f t="array" ref="N50">_FV(A50,"Volume")</f>
        <v>2</v>
      </c>
      <c r="O50" s="6" cm="1">
        <f t="array" ref="O50">_FV(A50,"P/E",TRUE)</f>
        <v>38.167999999999999</v>
      </c>
      <c r="P50" s="7" cm="1">
        <f t="array" ref="P50">_FV(A50,"Employees")</f>
        <v>1773</v>
      </c>
      <c r="Q50" t="str" cm="1">
        <f t="array" ref="Q50">_FV(A50,"Exchange")</f>
        <v>Nasdaq Stock Market</v>
      </c>
    </row>
    <row r="51" spans="1:17" x14ac:dyDescent="0.25">
      <c r="A51" t="e" vm="52">
        <v>#VALUE!</v>
      </c>
      <c r="B51" t="str">
        <f t="shared" si="11"/>
        <v>INTC</v>
      </c>
      <c r="C51" t="str">
        <f t="shared" si="12"/>
        <v>INTEL CORPORATION</v>
      </c>
      <c r="D51" t="str">
        <f t="shared" si="13"/>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c>
      <c r="E51" t="str">
        <f t="shared" si="14"/>
        <v>Semiconductors &amp; Semiconductor Equipment</v>
      </c>
      <c r="F51" s="1">
        <f t="shared" si="15"/>
        <v>56.96</v>
      </c>
      <c r="G51" s="1">
        <f t="shared" si="16"/>
        <v>57.39</v>
      </c>
      <c r="H51" s="1">
        <f t="shared" si="17"/>
        <v>56.4</v>
      </c>
      <c r="I51" s="1">
        <f t="shared" si="18"/>
        <v>56.648000000000003</v>
      </c>
      <c r="J51" s="1">
        <f t="shared" si="19"/>
        <v>56.08</v>
      </c>
      <c r="K51" s="2">
        <f t="shared" si="20"/>
        <v>230004480000</v>
      </c>
      <c r="L51" s="5">
        <f t="shared" si="21"/>
        <v>1.5691999999999998E-2</v>
      </c>
      <c r="M51" s="6" cm="1">
        <f t="array" ref="M51">_FV(A51,"Beta")</f>
        <v>0.60340000000000005</v>
      </c>
      <c r="N51" s="7" cm="1">
        <f t="array" ref="N51">_FV(A51,"Volume")</f>
        <v>124623</v>
      </c>
      <c r="O51" s="6" cm="1">
        <f t="array" ref="O51">_FV(A51,"P/E",TRUE)</f>
        <v>12.605399999999999</v>
      </c>
      <c r="P51" s="7" cm="1">
        <f t="array" ref="P51">_FV(A51,"Employees")</f>
        <v>110600</v>
      </c>
      <c r="Q51" t="str" cm="1">
        <f t="array" ref="Q51">_FV(A51,"Exchange")</f>
        <v>Nasdaq Stock Market</v>
      </c>
    </row>
    <row r="52" spans="1:17" x14ac:dyDescent="0.25">
      <c r="A52" t="e" vm="53">
        <v>#VALUE!</v>
      </c>
      <c r="B52" t="str">
        <f t="shared" si="11"/>
        <v>INTU</v>
      </c>
      <c r="C52" t="str">
        <f t="shared" si="12"/>
        <v>INTUIT INC.</v>
      </c>
      <c r="D52" t="str">
        <f t="shared" si="13"/>
        <v>Intuit Inc. is a provider of business and financial management solutions for small businesses, consumers and accounting professionals. The Company operates through three segments: Small Business, Consumer Tax and ProConnect. The Small Business segment serves and advises small businesses and the accounting professionals, and includes QuickBooks financial and business management online services and desktop software, payroll solutions, and payment processing solutions. The Small Business segment also includes third-party applications that integrate with the Company's offerings. The Consumer Tax segment targets consumers and includes TurboTax products and services, which enable individuals to prepare and file their own federal and state personal income tax returns. The ProConnect segment targets professional accountants in the United States and Canada. Its ProConnect professional tax offerings include Lacerte, ProSeries, ProFile and ProConnect Tax Online.</v>
      </c>
      <c r="E52" t="str">
        <f t="shared" si="14"/>
        <v>Software &amp; IT Services</v>
      </c>
      <c r="F52" s="1">
        <f t="shared" si="15"/>
        <v>440.41</v>
      </c>
      <c r="G52" s="1">
        <f t="shared" si="16"/>
        <v>442.71</v>
      </c>
      <c r="H52" s="1">
        <f t="shared" si="17"/>
        <v>438.07</v>
      </c>
      <c r="I52" s="1">
        <f t="shared" si="18"/>
        <v>439.2</v>
      </c>
      <c r="J52" s="1">
        <f t="shared" si="19"/>
        <v>433.43</v>
      </c>
      <c r="K52" s="2">
        <f t="shared" si="20"/>
        <v>120601830359</v>
      </c>
      <c r="L52" s="5">
        <f t="shared" si="21"/>
        <v>1.6104E-2</v>
      </c>
      <c r="M52" s="6" cm="1">
        <f t="array" ref="M52">_FV(A52,"Beta")</f>
        <v>0.99250000000000005</v>
      </c>
      <c r="N52" s="7" cm="1">
        <f t="array" ref="N52">_FV(A52,"Volume")</f>
        <v>12458</v>
      </c>
      <c r="O52" s="6" cm="1">
        <f t="array" ref="O52">_FV(A52,"P/E",TRUE)</f>
        <v>66.606700000000004</v>
      </c>
      <c r="P52" s="7" cm="1">
        <f t="array" ref="P52">_FV(A52,"Employees")</f>
        <v>10600</v>
      </c>
      <c r="Q52" t="str" cm="1">
        <f t="array" ref="Q52">_FV(A52,"Exchange")</f>
        <v>Nasdaq Stock Market</v>
      </c>
    </row>
    <row r="53" spans="1:17" x14ac:dyDescent="0.25">
      <c r="A53" t="e" vm="54">
        <v>#VALUE!</v>
      </c>
      <c r="B53" t="str">
        <f t="shared" si="11"/>
        <v>ISRG</v>
      </c>
      <c r="C53" t="str">
        <f t="shared" si="12"/>
        <v>INTUITIVE SURGICAL, INC.</v>
      </c>
      <c r="D53" t="str">
        <f t="shared" si="13"/>
        <v>Intuitive Surgical, Inc. develops, manufactures and markets the da Vinci surgical system and Ion endoluminal system. The Company's da Vinci products are offered in categories, including da Vinci Surgical Systems, da Vinci instruments and accessories, da Vinci Stapling, da Vinci Energy, and da Vinci Vision, including Firefly Fluorescence imaging systems (Firefly) and da Vinci Endoscopes. It also provides a comprehensive suite of services, training, and education programs. It manufactures a set of instruments, which incorporates EndoWrist technology with wristed joints for natural dexterity and tips customized for various surgical procedures. Its Ion endoluminal system is a robotic-assisted, catheter-based platform designed to navigate through very small lung airways to reach peripheral nodules for biopsies. The da Vinci Surgical System enables surgeons to operate while seated at an ergonomic console viewing a three-dimensional, high definition (3DHD) image of the surgical field.</v>
      </c>
      <c r="E53" t="str">
        <f t="shared" si="14"/>
        <v>Healthcare Equipment &amp; Supplies</v>
      </c>
      <c r="F53" s="1">
        <f t="shared" si="15"/>
        <v>834.92</v>
      </c>
      <c r="G53" s="1">
        <f t="shared" si="16"/>
        <v>840.36</v>
      </c>
      <c r="H53" s="1">
        <f t="shared" si="17"/>
        <v>832.26</v>
      </c>
      <c r="I53" s="1">
        <f t="shared" si="18"/>
        <v>833.05</v>
      </c>
      <c r="J53" s="1">
        <f t="shared" si="19"/>
        <v>824.99</v>
      </c>
      <c r="K53" s="2">
        <f t="shared" si="20"/>
        <v>98865298468</v>
      </c>
      <c r="L53" s="5">
        <f t="shared" si="21"/>
        <v>1.2036999999999999E-2</v>
      </c>
      <c r="M53" s="6" cm="1">
        <f t="array" ref="M53">_FV(A53,"Beta")</f>
        <v>1.0427999999999999</v>
      </c>
      <c r="N53" s="7" cm="1">
        <f t="array" ref="N53">_FV(A53,"Volume")</f>
        <v>96</v>
      </c>
      <c r="O53" s="6" cm="1">
        <f t="array" ref="O53">_FV(A53,"P/E",TRUE)</f>
        <v>86.087199999999996</v>
      </c>
      <c r="P53" s="7" cm="1">
        <f t="array" ref="P53">_FV(A53,"Employees")</f>
        <v>8081</v>
      </c>
      <c r="Q53" t="str" cm="1">
        <f t="array" ref="Q53">_FV(A53,"Exchange")</f>
        <v>Nasdaq Stock Market</v>
      </c>
    </row>
    <row r="54" spans="1:17" x14ac:dyDescent="0.25">
      <c r="A54" t="e" vm="55">
        <v>#VALUE!</v>
      </c>
      <c r="B54" t="str">
        <f t="shared" si="11"/>
        <v>JD</v>
      </c>
      <c r="C54" t="str">
        <f t="shared" si="12"/>
        <v>JD.COM, INC.</v>
      </c>
      <c r="D54" t="str">
        <f t="shared" si="13"/>
        <v>JD.com Inc is a holding company mainly engaged in e-commerce business. The Company operates two segments. JD Retail segment consists of online retail, online marketplace and marketing services in China. The Company offers electronics products, home appliances and other general merchandise categories. The Company has its own online platform, which third-party merchants offer products on it. The Company provides marketing and display advertising services to third-party merchants, suppliers and other business partners on its website channels. New Businesses segment includes logistics services provided to third parties, overseas business, technology initiatives, as well as asset management services to logistics property investors and sale of development properties. It offers comprehensive supply chain solutions to third parties through JD Logistics, including warehousing, transportation, delivery and after-sales service. The Company mainly conducts its businesses in the China market.</v>
      </c>
      <c r="E54" t="str">
        <f t="shared" si="14"/>
        <v>Diversified Retail</v>
      </c>
      <c r="F54" s="1">
        <f t="shared" si="15"/>
        <v>71.66</v>
      </c>
      <c r="G54" s="1">
        <f t="shared" si="16"/>
        <v>72.75</v>
      </c>
      <c r="H54" s="1">
        <f t="shared" si="17"/>
        <v>71.58</v>
      </c>
      <c r="I54" s="1">
        <f t="shared" si="18"/>
        <v>72.25</v>
      </c>
      <c r="J54" s="1">
        <f t="shared" si="19"/>
        <v>72.75</v>
      </c>
      <c r="K54" s="4">
        <f t="shared" si="20"/>
        <v>903884400000</v>
      </c>
      <c r="L54" s="5">
        <f t="shared" si="21"/>
        <v>-1.4983E-2</v>
      </c>
      <c r="M54" t="e" cm="1" vm="38">
        <f t="array" ref="M54">_FV(A54,"Beta")</f>
        <v>#VALUE!</v>
      </c>
      <c r="N54" s="7" cm="1">
        <f t="array" ref="N54">_FV(A54,"Volume")</f>
        <v>106876</v>
      </c>
      <c r="O54" s="6" cm="1">
        <f t="array" ref="O54">_FV(A54,"P/E",TRUE)</f>
        <v>14.387</v>
      </c>
      <c r="P54" s="7" cm="1">
        <f t="array" ref="P54">_FV(A54,"Employees")</f>
        <v>314906</v>
      </c>
      <c r="Q54" t="str" cm="1">
        <f t="array" ref="Q54">_FV(A54,"Exchange")</f>
        <v>Nasdaq Stock Market</v>
      </c>
    </row>
    <row r="55" spans="1:17" x14ac:dyDescent="0.25">
      <c r="A55" t="e" vm="56">
        <v>#VALUE!</v>
      </c>
      <c r="B55" t="str">
        <f t="shared" si="11"/>
        <v>KDP</v>
      </c>
      <c r="C55" t="str">
        <f t="shared" si="12"/>
        <v>KEURIG DR PEPPER INC.</v>
      </c>
      <c r="D55" t="str">
        <f t="shared" si="13"/>
        <v>Keurig Dr Pepper Inc., formerly Dr Pepper Snapple Group, Inc., is an integrated brand owner, manufacturer and distributor of non-alcoholic beverages in the United States, Mexico and Canada. The Company offers a diverse portfolio of flavored (non-cola) carbonated soft drinks (CSDs) and non-carbonated beverages (NCBs), including ready-to-drink teas, juices, juice drinks, water and mixers. The Company's segments include Beverage Concentrates, Packaged Beverages and Latin America Beverages. The Company's brand portfolio includes CSD brands, such as Dr Pepper, Canada Dry, Penafiel, Squirt, 7UP, Crush, A&amp;W, Sunkist soda and Schweppes, and NCB brands, such as Snapple, Hawaiian Punch, Mott's and Clamato. The Company's NCB brands include Snapple, Hawaiian Punch, Mott's, FIJI mineral water, Clamato, Yoo-Hoo, Deja Blue, Bai Brands, ReaLemon, AriZona tea, Vita Coco coconut water, Mr and Mrs T mixers, BodyArmor, Nantucket Nectars, Garden Cocktail, Mistic and Rose's.</v>
      </c>
      <c r="E55" t="str">
        <f t="shared" si="14"/>
        <v>Beverages</v>
      </c>
      <c r="F55" s="1">
        <f t="shared" si="15"/>
        <v>36.86</v>
      </c>
      <c r="G55" s="1">
        <f t="shared" si="16"/>
        <v>36.979999999999997</v>
      </c>
      <c r="H55" s="1">
        <f t="shared" si="17"/>
        <v>36.424999999999997</v>
      </c>
      <c r="I55" s="1">
        <f t="shared" si="18"/>
        <v>36.51</v>
      </c>
      <c r="J55" s="1">
        <f t="shared" si="19"/>
        <v>36.24</v>
      </c>
      <c r="K55" s="2">
        <f t="shared" si="20"/>
        <v>52244995400</v>
      </c>
      <c r="L55" s="5">
        <f t="shared" si="21"/>
        <v>1.7108000000000002E-2</v>
      </c>
      <c r="M55" s="6" cm="1">
        <f t="array" ref="M55">_FV(A55,"Beta")</f>
        <v>0.73129999999999995</v>
      </c>
      <c r="N55" s="7" cm="1">
        <f t="array" ref="N55">_FV(A55,"Volume")</f>
        <v>4494</v>
      </c>
      <c r="O55" s="6" cm="1">
        <f t="array" ref="O55">_FV(A55,"P/E",TRUE)</f>
        <v>34.338500000000003</v>
      </c>
      <c r="P55" s="7" cm="1">
        <f t="array" ref="P55">_FV(A55,"Employees")</f>
        <v>27000</v>
      </c>
      <c r="Q55" t="str" cm="1">
        <f t="array" ref="Q55">_FV(A55,"Exchange")</f>
        <v>Nasdaq Stock Market</v>
      </c>
    </row>
    <row r="56" spans="1:17" x14ac:dyDescent="0.25">
      <c r="A56" t="e" vm="57">
        <v>#VALUE!</v>
      </c>
      <c r="B56" t="str">
        <f t="shared" si="11"/>
        <v>KLAC</v>
      </c>
      <c r="C56" t="str">
        <f t="shared" si="12"/>
        <v>KLA Corporation</v>
      </c>
      <c r="D56" t="str">
        <f t="shared" si="13"/>
        <v>KLA Corporation (KLA), formerly KLA-Tencor Corporation, is a supplier of process control and yield management solutions for the semiconductor and related nanoelectronics industries. The Company's products are also used in a number of other high technology industries, including the packaging, light emitting diode (LED), power devices, compound semiconductor, and data storage industries, as well as general materials research. Its products and services are used by bare wafer, integrated circuit (IC), lithography reticle (reticle or mask) and disk manufacturers around the world. Its inspection and metrology products and related offerings are categorized in various groups, including Chip and Wafer Manufacturing, Reticle Manufacturing, Packaging Manufacturing, Compound Semiconductor, Power Device, LED and microelectromechanical systems (MEMS)Manufacturing, General Purpose/Lab Applications, K-T Pro and K-T Services. It provides refurbished KLA tools as service and support for its products.</v>
      </c>
      <c r="E56" t="str">
        <f t="shared" si="14"/>
        <v>Semiconductors &amp; Semiconductor Equipment</v>
      </c>
      <c r="F56" s="1">
        <f t="shared" si="15"/>
        <v>317.55</v>
      </c>
      <c r="G56" s="1">
        <f t="shared" si="16"/>
        <v>320.12</v>
      </c>
      <c r="H56" s="1">
        <f t="shared" si="17"/>
        <v>313.81</v>
      </c>
      <c r="I56" s="1">
        <f t="shared" si="18"/>
        <v>314.33999999999997</v>
      </c>
      <c r="J56" s="1">
        <f t="shared" si="19"/>
        <v>310.14</v>
      </c>
      <c r="K56" s="2">
        <f t="shared" si="20"/>
        <v>48674635590</v>
      </c>
      <c r="L56" s="5">
        <f t="shared" si="21"/>
        <v>2.3892000000000004E-2</v>
      </c>
      <c r="M56" s="6" cm="1">
        <f t="array" ref="M56">_FV(A56,"Beta")</f>
        <v>1.2248000000000001</v>
      </c>
      <c r="N56" s="7" cm="1">
        <f t="array" ref="N56">_FV(A56,"Volume")</f>
        <v>2418</v>
      </c>
      <c r="O56" s="6" cm="1">
        <f t="array" ref="O56">_FV(A56,"P/E",TRUE)</f>
        <v>26.646699999999999</v>
      </c>
      <c r="P56" s="7" cm="1">
        <f t="array" ref="P56">_FV(A56,"Employees")</f>
        <v>10600</v>
      </c>
      <c r="Q56" t="str" cm="1">
        <f t="array" ref="Q56">_FV(A56,"Exchange")</f>
        <v>Nasdaq Stock Market</v>
      </c>
    </row>
    <row r="57" spans="1:17" x14ac:dyDescent="0.25">
      <c r="A57" t="e" vm="58">
        <v>#VALUE!</v>
      </c>
      <c r="B57" t="str">
        <f t="shared" si="11"/>
        <v>KHC</v>
      </c>
      <c r="C57" t="str">
        <f t="shared" si="12"/>
        <v>THE KRAFT HEINZ COMPANY</v>
      </c>
      <c r="D57" t="str">
        <f t="shared" si="13"/>
        <v>Kraft Heinz Company (Kraft Heinz) is a global food and beverage company. The Company’s segments include United States, International and Canada. It manufactures and markets food and beverage products, including condiments and sauces, cheese and dairy, meals, meats, refreshment beverages, coffee, and other grocery products throughout the world. It offers its products under various brands, such as Kraft, Oscar Mayer, Heinz, Philadelphia, Lunchables, Velveeta, Planters, Maxwell House, Kool-Aid, Ore-Ida, Jell-O, Master, Quero, Golden Circle and Wattie's. Its products are sold through its own sales organizations and through independent brokers, agents, and distributors to chain, wholesale, cooperative and independent grocery accounts, convenience stores, drug stores, value stores, bakeries, pharmacies, mass merchants, club stores, foodservice distributors, and institutions, including hotels, restaurants, hospitals, health care facilities and certain government agencies.</v>
      </c>
      <c r="E57" t="str">
        <f t="shared" si="14"/>
        <v>Food &amp; Tobacco</v>
      </c>
      <c r="F57" s="1">
        <f t="shared" si="15"/>
        <v>44.52</v>
      </c>
      <c r="G57" s="1">
        <f t="shared" si="16"/>
        <v>44.95</v>
      </c>
      <c r="H57" s="1">
        <f t="shared" si="17"/>
        <v>44.25</v>
      </c>
      <c r="I57" s="1">
        <f t="shared" si="18"/>
        <v>44.27</v>
      </c>
      <c r="J57" s="1">
        <f t="shared" si="19"/>
        <v>44.13</v>
      </c>
      <c r="K57" s="2">
        <f t="shared" si="20"/>
        <v>54454504440</v>
      </c>
      <c r="L57" s="5">
        <f t="shared" si="21"/>
        <v>8.8380000000000004E-3</v>
      </c>
      <c r="M57" s="6" cm="1">
        <f t="array" ref="M57">_FV(A57,"Beta")</f>
        <v>1.1261000000000001</v>
      </c>
      <c r="N57" s="7" cm="1">
        <f t="array" ref="N57">_FV(A57,"Volume")</f>
        <v>6716</v>
      </c>
      <c r="O57" s="6" cm="1">
        <f t="array" ref="O57">_FV(A57,"P/E",TRUE)</f>
        <v>125.0492</v>
      </c>
      <c r="P57" s="7" cm="1">
        <f t="array" ref="P57">_FV(A57,"Employees")</f>
        <v>38000</v>
      </c>
      <c r="Q57" t="str" cm="1">
        <f t="array" ref="Q57">_FV(A57,"Exchange")</f>
        <v>Nasdaq Stock Market</v>
      </c>
    </row>
    <row r="58" spans="1:17" x14ac:dyDescent="0.25">
      <c r="A58" t="e" vm="59">
        <v>#VALUE!</v>
      </c>
      <c r="B58" t="str">
        <f t="shared" si="11"/>
        <v>LRCX</v>
      </c>
      <c r="C58" t="str">
        <f t="shared" si="12"/>
        <v>LAM RESEARCH CORPORATION</v>
      </c>
      <c r="D58" t="str">
        <f t="shared" si="13"/>
        <v>Lam Research Corporation is a supplier of wafer fabrication equipment and services to the semiconductor industry. The Company designs, manufactures, markets, refurbishes and services semiconductor processing systems that are used in the fabrication of integrated circuits (ICs). It operates through manufacturing and servicing of wafer processing semiconductor manufacturing equipment segment. Its products are designed to enable its customers build a range of devices that are used in a range of electronic products, including cell phones, tablets, computers, storage devices, and networking equipment. Its customer base includes semiconductor memory, foundry, and integrated device manufacturers (IDMs) that make products, such as dynamic random-access memory (DRAM), negative-AND (NAND) memory and logic devices. It offers a portfolio of products that are used in several areas of the semiconductor manufacturing process flow, including thin film deposition, plasma etch and single-wafer clean.</v>
      </c>
      <c r="E58" t="str">
        <f t="shared" si="14"/>
        <v>Semiconductors &amp; Semiconductor Equipment</v>
      </c>
      <c r="F58" s="1">
        <f t="shared" si="15"/>
        <v>634.64</v>
      </c>
      <c r="G58" s="1">
        <f t="shared" si="16"/>
        <v>641.53</v>
      </c>
      <c r="H58" s="1">
        <f t="shared" si="17"/>
        <v>622.02</v>
      </c>
      <c r="I58" s="1">
        <f t="shared" si="18"/>
        <v>625.35</v>
      </c>
      <c r="J58" s="1">
        <f t="shared" si="19"/>
        <v>614.1</v>
      </c>
      <c r="K58" s="2">
        <f t="shared" si="20"/>
        <v>87582540000</v>
      </c>
      <c r="L58" s="5">
        <f t="shared" si="21"/>
        <v>3.3446999999999998E-2</v>
      </c>
      <c r="M58" s="6" cm="1">
        <f t="array" ref="M58">_FV(A58,"Beta")</f>
        <v>1.2814000000000001</v>
      </c>
      <c r="N58" s="7" cm="1">
        <f t="array" ref="N58">_FV(A58,"Volume")</f>
        <v>4835</v>
      </c>
      <c r="O58" s="6" cm="1">
        <f t="array" ref="O58">_FV(A58,"P/E",TRUE)</f>
        <v>26.797899999999998</v>
      </c>
      <c r="P58" s="7" cm="1">
        <f t="array" ref="P58">_FV(A58,"Employees")</f>
        <v>11300</v>
      </c>
      <c r="Q58" t="str" cm="1">
        <f t="array" ref="Q58">_FV(A58,"Exchange")</f>
        <v>Nasdaq Stock Market</v>
      </c>
    </row>
    <row r="59" spans="1:17" x14ac:dyDescent="0.25">
      <c r="A59" t="e" vm="60">
        <v>#VALUE!</v>
      </c>
      <c r="B59" t="str">
        <f t="shared" si="11"/>
        <v>LULU</v>
      </c>
      <c r="C59" t="str">
        <f t="shared" si="12"/>
        <v>LULULEMON ATHLETICA INC.</v>
      </c>
      <c r="D59" t="str">
        <f t="shared" si="13"/>
        <v>lululemon athletica inc. is a designer, distributor and retailer of lifestyle inspired athletic apparel and accessories. The Company’s segments include Company-operated stores and direct to consumer. Its apparel assortment includes items such as pants, shorts, tops, and jackets designed for a healthy lifestyle including athletic activities such as yoga, running, training, and other sweaty pursuits. It also offers fitness-related accessories. Its direct to consumer segment includes electronic commerce Website www.lululemon.com, other country and region-specific websites, and mobile applications, including mobile applications on in-store devices. Its Company-operated stores include approximately 491 stores. Its Company-operated stores are branded lululemon and ivivva. The ivivva branded stores specializes in athletic wear for female youth. It also offers weekly live classes, on-demand workouts and one-on-one personal training through its subsidiary.</v>
      </c>
      <c r="E59" t="str">
        <f t="shared" si="14"/>
        <v>Textiles &amp; Apparel</v>
      </c>
      <c r="F59" s="1">
        <f t="shared" si="15"/>
        <v>318.19</v>
      </c>
      <c r="G59" s="1">
        <f t="shared" si="16"/>
        <v>320.39999999999998</v>
      </c>
      <c r="H59" s="1">
        <f t="shared" si="17"/>
        <v>313.495</v>
      </c>
      <c r="I59" s="1">
        <f t="shared" si="18"/>
        <v>315.24</v>
      </c>
      <c r="J59" s="1">
        <f t="shared" si="19"/>
        <v>313.2</v>
      </c>
      <c r="K59" s="2">
        <f t="shared" si="20"/>
        <v>41469893614</v>
      </c>
      <c r="L59" s="5">
        <f t="shared" si="21"/>
        <v>1.5931999999999998E-2</v>
      </c>
      <c r="M59" s="6" cm="1">
        <f t="array" ref="M59">_FV(A59,"Beta")</f>
        <v>1.3431999999999999</v>
      </c>
      <c r="N59" s="7" cm="1">
        <f t="array" ref="N59">_FV(A59,"Volume")</f>
        <v>1977</v>
      </c>
      <c r="O59" s="6" cm="1">
        <f t="array" ref="O59">_FV(A59,"P/E",TRUE)</f>
        <v>70.718000000000004</v>
      </c>
      <c r="P59" s="7" cm="1">
        <f t="array" ref="P59">_FV(A59,"Employees")</f>
        <v>19000</v>
      </c>
      <c r="Q59" t="str" cm="1">
        <f t="array" ref="Q59">_FV(A59,"Exchange")</f>
        <v>Nasdaq Stock Market</v>
      </c>
    </row>
    <row r="60" spans="1:17" x14ac:dyDescent="0.25">
      <c r="A60" t="e" vm="61">
        <v>#VALUE!</v>
      </c>
      <c r="B60" t="str">
        <f t="shared" si="11"/>
        <v>MAR</v>
      </c>
      <c r="C60" t="str">
        <f t="shared" si="12"/>
        <v>MARRIOTT INTERNATIONAL, INC.</v>
      </c>
      <c r="D60" t="str">
        <f t="shared" si="13"/>
        <v>Marriott International, Inc. (Marriott International) is a lodging company. Marriott International operates in three business segments: North American Full-Service, North American Limited-Service and International. Its North American Full-Service segment includes its Luxury and Premium brands (JW Marriott, Marriott Hotels, Westin, Renaissance Hotels, Le Meridien, Autograph Collection Hotels, Delta Hotels, Gaylord Hotels, and Tribute Portfolio) located in the United States and Canada. Its North American Limited-Service segment includes Select brands (Courtyard, Residence Inn, Fairfield Inn &amp; Suites, SpringHill Suites, Element Hotels and Moxy Hotels) located in the United States and Canada. Its International segment includes JW Marriott, St. Regis, EDITION, Bulgari Hotels &amp; Resorts, Marriott Hotels, Westin, Four Points, Aloft Hotels, AC Hotels by Marriott, Protea Hotels, Element Hotels, and Moxy Hotels located outside the United States and Canada.</v>
      </c>
      <c r="E60" t="str">
        <f t="shared" si="14"/>
        <v>Hotels &amp; Entertainment Services</v>
      </c>
      <c r="F60" s="1">
        <f t="shared" si="15"/>
        <v>141.88999999999999</v>
      </c>
      <c r="G60" s="1">
        <f t="shared" si="16"/>
        <v>142.21</v>
      </c>
      <c r="H60" s="1">
        <f t="shared" si="17"/>
        <v>139.11000000000001</v>
      </c>
      <c r="I60" s="1">
        <f t="shared" si="18"/>
        <v>140.08000000000001</v>
      </c>
      <c r="J60" s="1">
        <f t="shared" si="19"/>
        <v>139.01</v>
      </c>
      <c r="K60" s="2">
        <f t="shared" si="20"/>
        <v>46204846764</v>
      </c>
      <c r="L60" s="5">
        <f t="shared" si="21"/>
        <v>2.0718E-2</v>
      </c>
      <c r="M60" s="6" cm="1">
        <f t="array" ref="M60">_FV(A60,"Beta")</f>
        <v>1.889</v>
      </c>
      <c r="N60" s="7" cm="1">
        <f t="array" ref="N60">_FV(A60,"Volume")</f>
        <v>2951</v>
      </c>
      <c r="O60" s="6" cm="1">
        <f t="array" ref="O60">_FV(A60,"P/E",TRUE)</f>
        <v>250.69810000000001</v>
      </c>
      <c r="P60" s="7" cm="1">
        <f t="array" ref="P60">_FV(A60,"Employees")</f>
        <v>121000</v>
      </c>
      <c r="Q60" t="str" cm="1">
        <f t="array" ref="Q60">_FV(A60,"Exchange")</f>
        <v>Nasdaq Stock Market</v>
      </c>
    </row>
    <row r="61" spans="1:17" x14ac:dyDescent="0.25">
      <c r="A61" t="e" vm="62">
        <v>#VALUE!</v>
      </c>
      <c r="B61" t="str">
        <f t="shared" si="11"/>
        <v>MRVL</v>
      </c>
      <c r="C61" t="str">
        <f t="shared" si="12"/>
        <v>MARVELL TECHNOLOGY, INC</v>
      </c>
      <c r="D61" t="str">
        <f t="shared" si="13"/>
        <v>Marvell Technology, Inc. is a data infrastructure semiconductor solutions provider. The Company is principally engaged in delivering the data infrastructure technology that connects the world. The Company moves, stores, processes and secures data with semiconductor solutions designed for its customer needs. The Company's subsidiary, Inphi Corporation, is engaged in providing analog and mixed signal semiconductor solutions for the communications and cloud markets.</v>
      </c>
      <c r="E61" t="str">
        <f t="shared" si="14"/>
        <v>Semiconductors &amp; Semiconductor Equipment</v>
      </c>
      <c r="F61" s="1">
        <f t="shared" si="15"/>
        <v>47.62</v>
      </c>
      <c r="G61" s="1">
        <f t="shared" si="16"/>
        <v>47.86</v>
      </c>
      <c r="H61" s="1">
        <f t="shared" si="17"/>
        <v>46.51</v>
      </c>
      <c r="I61" s="1">
        <f t="shared" si="18"/>
        <v>46.67</v>
      </c>
      <c r="J61" s="1">
        <f t="shared" si="19"/>
        <v>46.22</v>
      </c>
      <c r="K61" s="2">
        <f t="shared" si="20"/>
        <v>38467178852</v>
      </c>
      <c r="L61" s="5">
        <f t="shared" si="21"/>
        <v>3.0289999999999997E-2</v>
      </c>
      <c r="M61" s="6" cm="1">
        <f t="array" ref="M61">_FV(A61,"Beta")</f>
        <v>1.0976999999999999</v>
      </c>
      <c r="N61" s="7" cm="1">
        <f t="array" ref="N61">_FV(A61,"Volume")</f>
        <v>11988</v>
      </c>
      <c r="O61" s="6" cm="1">
        <f t="array" ref="O61">_FV(A61,"P/E",TRUE)</f>
        <v>22.982299999999999</v>
      </c>
      <c r="P61" s="7" cm="1">
        <f t="array" ref="P61">_FV(A61,"Employees")</f>
        <v>5340</v>
      </c>
      <c r="Q61" t="str" cm="1">
        <f t="array" ref="Q61">_FV(A61,"Exchange")</f>
        <v>Nasdaq Stock Market</v>
      </c>
    </row>
    <row r="62" spans="1:17" x14ac:dyDescent="0.25">
      <c r="A62" t="e" vm="63">
        <v>#VALUE!</v>
      </c>
      <c r="B62" t="str">
        <f t="shared" si="11"/>
        <v>MTCH</v>
      </c>
      <c r="C62" t="str">
        <f t="shared" si="12"/>
        <v>MATCH GROUP, INC.</v>
      </c>
      <c r="D62" t="str">
        <f t="shared" si="13"/>
        <v>Match Group Inc is providing dating products through its portfolio companies which are available globally. The Company’s portfolio of brands includes Tinder, Match, Meetic, OkCupid, Hinge, Pairs, PlentyOfFish, and OurTime, and other brands which are designed for users' to find a connection. Through its portfolio companies and their brands, the Company provide tailored products and enables connections across the spectrum of age, gender and dating goals. Its products are available in over 40 languages to users all over the world.</v>
      </c>
      <c r="E62" t="str">
        <f t="shared" si="14"/>
        <v>Software &amp; IT Services</v>
      </c>
      <c r="F62" s="1">
        <f t="shared" si="15"/>
        <v>147.30000000000001</v>
      </c>
      <c r="G62" s="1">
        <f t="shared" si="16"/>
        <v>148.43</v>
      </c>
      <c r="H62" s="1">
        <f t="shared" si="17"/>
        <v>143.33000000000001</v>
      </c>
      <c r="I62" s="1">
        <f t="shared" si="18"/>
        <v>144.18</v>
      </c>
      <c r="J62" s="1">
        <f t="shared" si="19"/>
        <v>143.32</v>
      </c>
      <c r="K62" s="2">
        <f t="shared" si="20"/>
        <v>39811448580</v>
      </c>
      <c r="L62" s="5">
        <f t="shared" si="21"/>
        <v>2.7770000000000003E-2</v>
      </c>
      <c r="M62" t="e" cm="1" vm="38">
        <f t="array" ref="M62">_FV(A62,"Beta")</f>
        <v>#VALUE!</v>
      </c>
      <c r="N62" s="7" cm="1">
        <f t="array" ref="N62">_FV(A62,"Volume")</f>
        <v>1493</v>
      </c>
      <c r="O62" s="6" cm="1">
        <f t="array" ref="O62">_FV(A62,"P/E",TRUE)</f>
        <v>74.479299999999995</v>
      </c>
      <c r="P62" s="7" cm="1">
        <f t="array" ref="P62">_FV(A62,"Employees")</f>
        <v>1880</v>
      </c>
      <c r="Q62" t="str" cm="1">
        <f t="array" ref="Q62">_FV(A62,"Exchange")</f>
        <v>Nasdaq Stock Market</v>
      </c>
    </row>
    <row r="63" spans="1:17" x14ac:dyDescent="0.25">
      <c r="A63" t="e" vm="64">
        <v>#VALUE!</v>
      </c>
      <c r="B63" t="str">
        <f t="shared" si="11"/>
        <v>MXIM</v>
      </c>
      <c r="C63" t="str">
        <f t="shared" si="12"/>
        <v>MAXIM INTEGRATED PRODUCTS, INC.</v>
      </c>
      <c r="D63" t="str">
        <f t="shared" si="13"/>
        <v>Maxim Integrated Products, Inc. is engaged in designing, developing, manufacturing and marketing a range of linear and mixed-signal integrated circuits, referred to as analog circuits. The Company also provides a range of high-frequency process technologies and capabilities for use in custom designs. The Company caters to automotive, communications and data center, computing, consumer and industrial markets. It offers a range of products, such as switching regulators, battery management, isolated power, charge pumps, linear regulators, light emitting diode (LED) drivers, motor driver integrated circuits (ICs), monitors and sequencers, transceivers, controllers and expanders, level translators, signal line protection ICs, broadband switches, powerline communications, real-time clocks, embedded security, microcontrollers, 1-Wire, iButton, data loggers, clock generation and distribution, memory products, optical, signal integrity, high-speed signaling, and display power and control.</v>
      </c>
      <c r="E63" t="str">
        <f t="shared" si="14"/>
        <v>Semiconductors &amp; Semiconductor Equipment</v>
      </c>
      <c r="F63" s="1">
        <f t="shared" si="15"/>
        <v>100.7</v>
      </c>
      <c r="G63" s="1">
        <f t="shared" si="16"/>
        <v>101.07</v>
      </c>
      <c r="H63" s="1">
        <f t="shared" si="17"/>
        <v>99.625</v>
      </c>
      <c r="I63" s="1">
        <f t="shared" si="18"/>
        <v>100.18</v>
      </c>
      <c r="J63" s="1">
        <f t="shared" si="19"/>
        <v>98.85</v>
      </c>
      <c r="K63" s="2">
        <f t="shared" si="20"/>
        <v>27024214520</v>
      </c>
      <c r="L63" s="5">
        <f t="shared" si="21"/>
        <v>1.8714999999999999E-2</v>
      </c>
      <c r="M63" s="6" cm="1">
        <f t="array" ref="M63">_FV(A63,"Beta")</f>
        <v>1.2</v>
      </c>
      <c r="N63" s="7" cm="1">
        <f t="array" ref="N63">_FV(A63,"Volume")</f>
        <v>4846</v>
      </c>
      <c r="O63" s="6" cm="1">
        <f t="array" ref="O63">_FV(A63,"P/E",TRUE)</f>
        <v>34.8324</v>
      </c>
      <c r="P63" s="7" cm="1">
        <f t="array" ref="P63">_FV(A63,"Employees")</f>
        <v>7115</v>
      </c>
      <c r="Q63" t="str" cm="1">
        <f t="array" ref="Q63">_FV(A63,"Exchange")</f>
        <v>Nasdaq Stock Market</v>
      </c>
    </row>
    <row r="64" spans="1:17" x14ac:dyDescent="0.25">
      <c r="A64" t="e" vm="65">
        <v>#VALUE!</v>
      </c>
      <c r="B64" t="str">
        <f t="shared" si="11"/>
        <v>MELI</v>
      </c>
      <c r="C64" t="str">
        <f t="shared" si="12"/>
        <v>MERCADOLIBRE, INC.</v>
      </c>
      <c r="D64" t="str">
        <f t="shared" si="13"/>
        <v>MercadoLibre, Inc. is an e-commerce company. The Company enables commerce through its marketplace platform in Latin America, which is designed to provide users with a portfolio of services to facilitate commercial transactions. Its geographic segments are Brazil, Argentina, Mexico Venezuela and Other Countries (which includes Chile, Colombia, Costa Rica, Dominican Republic, Ecuador, Panama, Peru, Portugal, Guatemala, Bolivia, Paraguay, Uruguay and the United States of America). It also operates online commerce platforms in the Dominican Republic, Honduras, Nicaragua, Salvador, Panama, Bolivia, Guatemala, Paraguay and Portugal. It offers an ecosystem of six integrated e-commerce services: the MercadoLibre Marketplace, the MercadoLibre Classifieds Service, the MercadoPago payments solution, the MercadoLibre advertising program, the MercadoShops online Webstores solution and the MercadoEnvios shipping service.</v>
      </c>
      <c r="E64" t="str">
        <f t="shared" si="14"/>
        <v>Software &amp; IT Services</v>
      </c>
      <c r="F64" s="1">
        <f t="shared" si="15"/>
        <v>1367.33</v>
      </c>
      <c r="G64" s="1">
        <f t="shared" si="16"/>
        <v>1385.19</v>
      </c>
      <c r="H64" s="1">
        <f t="shared" si="17"/>
        <v>1363.6401000000001</v>
      </c>
      <c r="I64" s="1">
        <f t="shared" si="18"/>
        <v>1373.43</v>
      </c>
      <c r="J64" s="1">
        <f t="shared" si="19"/>
        <v>1367.12</v>
      </c>
      <c r="K64" s="2">
        <f t="shared" si="20"/>
        <v>68164572705</v>
      </c>
      <c r="L64" s="5">
        <f t="shared" si="21"/>
        <v>1.5359999999999999E-4</v>
      </c>
      <c r="M64" s="6" cm="1">
        <f t="array" ref="M64">_FV(A64,"Beta")</f>
        <v>1.4824999999999999</v>
      </c>
      <c r="N64" s="7" cm="1">
        <f t="array" ref="N64">_FV(A64,"Volume")</f>
        <v>622</v>
      </c>
      <c r="O64" s="6" cm="1">
        <f t="array" ref="O64">_FV(A64,"P/E",TRUE)</f>
        <v>1571.373</v>
      </c>
      <c r="P64" s="7" cm="1">
        <f t="array" ref="P64">_FV(A64,"Employees")</f>
        <v>15546</v>
      </c>
      <c r="Q64" t="str" cm="1">
        <f t="array" ref="Q64">_FV(A64,"Exchange")</f>
        <v>Nasdaq Stock Market</v>
      </c>
    </row>
    <row r="65" spans="1:17" x14ac:dyDescent="0.25">
      <c r="A65" t="e" vm="66">
        <v>#VALUE!</v>
      </c>
      <c r="B65" t="str">
        <f t="shared" si="11"/>
        <v>MCHP</v>
      </c>
      <c r="C65" t="str">
        <f t="shared" si="12"/>
        <v>MICROCHIP TECHNOLOGY INCORPORATED</v>
      </c>
      <c r="D65" t="str">
        <f t="shared" si="13"/>
        <v>Microchip Technology Incorporated is engaged in developing, manufacturing and selling specialized semiconductor products used by its customers for a range of embedded control applications. The Company operates through two segments: semiconductor products and technology licensing. In the semiconductor products segment, the Company designs, develops, manufactures and markets microcontrollers, development tools and analog, interface, mixed signal and timing products. Its functional activities include sales, marketing, manufacturing, information technology, human resources, legal and finance. Its product portfolio comprises general purpose and specialized 8-bit, 16-bit, and 32-bit microcontrollers, a spectrum of linear, mixed-signal, power management, thermal management, radio frequency (RF), timing, safety, security, wired connectivity and wireless connectivity devices, as well as serial electrically erasable programmable read-only memories (EEPROMs) and serial flash memories.</v>
      </c>
      <c r="E65" t="str">
        <f t="shared" si="14"/>
        <v>Semiconductors &amp; Semiconductor Equipment</v>
      </c>
      <c r="F65" s="1">
        <f t="shared" si="15"/>
        <v>154.1</v>
      </c>
      <c r="G65" s="1">
        <f t="shared" si="16"/>
        <v>154.87</v>
      </c>
      <c r="H65" s="1">
        <f t="shared" si="17"/>
        <v>151.15</v>
      </c>
      <c r="I65" s="1">
        <f t="shared" si="18"/>
        <v>151.15</v>
      </c>
      <c r="J65" s="1">
        <f t="shared" si="19"/>
        <v>149.81</v>
      </c>
      <c r="K65" s="2">
        <f t="shared" si="20"/>
        <v>42151188740</v>
      </c>
      <c r="L65" s="5">
        <f t="shared" si="21"/>
        <v>2.8635999999999998E-2</v>
      </c>
      <c r="M65" s="6" cm="1">
        <f t="array" ref="M65">_FV(A65,"Beta")</f>
        <v>1.6734</v>
      </c>
      <c r="N65" s="7" cm="1">
        <f t="array" ref="N65">_FV(A65,"Volume")</f>
        <v>7652</v>
      </c>
      <c r="O65" s="6" cm="1">
        <f t="array" ref="O65">_FV(A65,"P/E",TRUE)</f>
        <v>118.7175</v>
      </c>
      <c r="P65" s="7" cm="1">
        <f t="array" ref="P65">_FV(A65,"Employees")</f>
        <v>19500</v>
      </c>
      <c r="Q65" t="str" cm="1">
        <f t="array" ref="Q65">_FV(A65,"Exchange")</f>
        <v>Nasdaq Stock Market</v>
      </c>
    </row>
    <row r="66" spans="1:17" x14ac:dyDescent="0.25">
      <c r="A66" t="e" vm="67">
        <v>#VALUE!</v>
      </c>
      <c r="B66" t="str">
        <f t="shared" ref="B66:B97" si="22">_FV(A66,"Ticker symbol",TRUE)</f>
        <v>MU</v>
      </c>
      <c r="C66" t="str">
        <f t="shared" ref="C66:C97" si="23">_FV(A66,"Name")</f>
        <v>MICRON TECHNOLOGY, INC.</v>
      </c>
      <c r="D66" t="str">
        <f t="shared" ref="D66:D97" si="24">_FV(A66,"Description")</f>
        <v>Micron Technology, Inc. is engaged in semiconductor systems. The Company's portfolio of memory technologies, including dynamic random-access memory (DRAM), negative-AND (NAND) Flash and NOR Flash are the basis for solid-state drives, modules, multi-chip packages and other system solutions. Its business segments include Compute and Networking Business Unit (CNBU), which includes memory products sold into compute, networking, graphics and cloud server markets; Mobile Business Unit (MBU), which includes memory products sold into smartphone, tablet and other mobile-device markets; Storage Business Unit (SBU), which includes memory products sold into enterprise, client, cloud and removable storage markets, and SBU also includes products sold to Intel through its Intel/Micron Flash Technology (IMFT) joint venture, and Embedded Business Unit (EBU), which includes memory products sold into automotive, industrial, connected home and consumer electronics markets.</v>
      </c>
      <c r="E66" t="str">
        <f t="shared" ref="E66:E97" si="25">_FV(A66,"Industry")</f>
        <v>Semiconductors &amp; Semiconductor Equipment</v>
      </c>
      <c r="F66" s="1">
        <f t="shared" ref="F66:F97" si="26">_FV(A66,"Price")</f>
        <v>82.9</v>
      </c>
      <c r="G66" s="1">
        <f t="shared" ref="G66:G97" si="27">_FV(A66,"High")</f>
        <v>83.62</v>
      </c>
      <c r="H66" s="1">
        <f t="shared" ref="H66:H97" si="28">_FV(A66,"Low")</f>
        <v>81.360500000000002</v>
      </c>
      <c r="I66" s="1">
        <f t="shared" ref="I66:I97" si="29">_FV(A66,"Open")</f>
        <v>81.417500000000004</v>
      </c>
      <c r="J66" s="1">
        <f t="shared" ref="J66:J97" si="30">_FV(A66,"Previous close",TRUE)</f>
        <v>80.72</v>
      </c>
      <c r="K66" s="2">
        <f t="shared" ref="K66:K97" si="31">_FV(A66,"Market cap",TRUE)</f>
        <v>90520660000</v>
      </c>
      <c r="L66" s="5">
        <f t="shared" ref="L66:L97" si="32">_FV(A66,"Change (%)",TRUE)</f>
        <v>2.7007E-2</v>
      </c>
      <c r="M66" s="6" cm="1">
        <f t="array" ref="M66">_FV(A66,"Beta")</f>
        <v>1.2527999999999999</v>
      </c>
      <c r="N66" s="7" cm="1">
        <f t="array" ref="N66">_FV(A66,"Volume")</f>
        <v>109368</v>
      </c>
      <c r="O66" s="6" cm="1">
        <f t="array" ref="O66">_FV(A66,"P/E",TRUE)</f>
        <v>29.417999999999999</v>
      </c>
      <c r="P66" s="7" cm="1">
        <f t="array" ref="P66">_FV(A66,"Employees")</f>
        <v>40000</v>
      </c>
      <c r="Q66" t="str" cm="1">
        <f t="array" ref="Q66">_FV(A66,"Exchange")</f>
        <v>Nasdaq Stock Market</v>
      </c>
    </row>
    <row r="67" spans="1:17" x14ac:dyDescent="0.25">
      <c r="A67" t="e" vm="68">
        <v>#VALUE!</v>
      </c>
      <c r="B67" t="str">
        <f t="shared" si="22"/>
        <v>MSFT</v>
      </c>
      <c r="C67" t="str">
        <f t="shared" si="23"/>
        <v>MICROSOFT CORPORATION</v>
      </c>
      <c r="D67" t="str">
        <f t="shared" si="24"/>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c>
      <c r="E67" t="str">
        <f t="shared" si="25"/>
        <v>Software &amp; IT Services</v>
      </c>
      <c r="F67" s="1">
        <f t="shared" si="26"/>
        <v>250.78</v>
      </c>
      <c r="G67" s="1">
        <f t="shared" si="27"/>
        <v>251.16</v>
      </c>
      <c r="H67" s="1">
        <f t="shared" si="28"/>
        <v>247.51</v>
      </c>
      <c r="I67" s="1">
        <f t="shared" si="29"/>
        <v>247.785</v>
      </c>
      <c r="J67" s="1">
        <f t="shared" si="30"/>
        <v>245.17</v>
      </c>
      <c r="K67" s="2">
        <f t="shared" si="31"/>
        <v>1888768378500</v>
      </c>
      <c r="L67" s="5">
        <f t="shared" si="32"/>
        <v>2.2882E-2</v>
      </c>
      <c r="M67" s="6" cm="1">
        <f t="array" ref="M67">_FV(A67,"Beta")</f>
        <v>0.78939999999999999</v>
      </c>
      <c r="N67" s="7" cm="1">
        <f t="array" ref="N67">_FV(A67,"Volume")</f>
        <v>96217</v>
      </c>
      <c r="O67" s="6" cm="1">
        <f t="array" ref="O67">_FV(A67,"P/E",TRUE)</f>
        <v>34.1297</v>
      </c>
      <c r="P67" s="7" cm="1">
        <f t="array" ref="P67">_FV(A67,"Employees")</f>
        <v>163000</v>
      </c>
      <c r="Q67" t="str" cm="1">
        <f t="array" ref="Q67">_FV(A67,"Exchange")</f>
        <v>Nasdaq Stock Market</v>
      </c>
    </row>
    <row r="68" spans="1:17" x14ac:dyDescent="0.25">
      <c r="A68" t="e" vm="69">
        <v>#VALUE!</v>
      </c>
      <c r="B68" t="str">
        <f t="shared" si="22"/>
        <v>MRNA</v>
      </c>
      <c r="C68" t="str">
        <f t="shared" si="23"/>
        <v>MODERNA, INC.</v>
      </c>
      <c r="D68" t="str">
        <f t="shared" si="24"/>
        <v>Moderna, Inc. is engaged in transformative medicines based on messenger ribonucleic acid (mRNA). It has created a platform to improve the underlying pharmaceutical properties of our mRNA medicines. Its platform consists of three areas: mRNA technologies, delivery technologies, and manufacturing processes. It is pursuing mRNA science to minimize the undesirable activation of the immune system by mRNA and to maximize the potency of mRNA once in the target cells. It has advanced in parallel a diverse development pipeline of 21 programs, of which 10 have entered clinical studies and another three have open INDs. Its therapeutics and vaccine development programs span infectious diseases, oncology, cardiovascular diseases, and rare genetic diseases. It has created six modalities prophylactic vaccines, cancer vaccines, intratumoral immmuno-oncology, localized regenerative therapeutics, systemic secreted therapeutics and systemic intracellular therapeutics.</v>
      </c>
      <c r="E68" t="str">
        <f t="shared" si="25"/>
        <v>Biotechnology &amp; Medical Research</v>
      </c>
      <c r="F68" s="1">
        <f t="shared" si="26"/>
        <v>164.17</v>
      </c>
      <c r="G68" s="1">
        <f t="shared" si="27"/>
        <v>166.8</v>
      </c>
      <c r="H68" s="1">
        <f t="shared" si="28"/>
        <v>161.01</v>
      </c>
      <c r="I68" s="1">
        <f t="shared" si="29"/>
        <v>162.88130000000001</v>
      </c>
      <c r="J68" s="1">
        <f t="shared" si="30"/>
        <v>161.44999999999999</v>
      </c>
      <c r="K68" s="2">
        <f t="shared" si="31"/>
        <v>65918818925</v>
      </c>
      <c r="L68" s="5">
        <f t="shared" si="32"/>
        <v>1.6847000000000001E-2</v>
      </c>
      <c r="M68" t="e" cm="1" vm="38">
        <f t="array" ref="M68">_FV(A68,"Beta")</f>
        <v>#VALUE!</v>
      </c>
      <c r="N68" s="7" cm="1">
        <f t="array" ref="N68">_FV(A68,"Volume")</f>
        <v>216799</v>
      </c>
      <c r="O68" cm="1">
        <f t="array" ref="O68">_FV(A68,"P/E",TRUE)</f>
        <v>130.89930000000001</v>
      </c>
      <c r="P68" s="7" cm="1">
        <f t="array" ref="P68">_FV(A68,"Employees")</f>
        <v>1300</v>
      </c>
      <c r="Q68" t="str" cm="1">
        <f t="array" ref="Q68">_FV(A68,"Exchange")</f>
        <v>Nasdaq Stock Market</v>
      </c>
    </row>
    <row r="69" spans="1:17" x14ac:dyDescent="0.25">
      <c r="A69" t="e" vm="70">
        <v>#VALUE!</v>
      </c>
      <c r="B69" t="str">
        <f t="shared" si="22"/>
        <v>MDLZ</v>
      </c>
      <c r="C69" t="str">
        <f t="shared" si="23"/>
        <v>Mondelez International, Inc.</v>
      </c>
      <c r="D69" t="str">
        <f t="shared" si="24"/>
        <v>Mondelez International, Inc. is a snack company. The Company manufactures and markets snack food and beverage products for consumers. It operates through four segments: Latin America, Asia, Middle East, and Africa (AMEA), Europe and North America. Its brands spanned five product categories: Biscuits, including cookies, crackers and salted snacks; Chocolate; Gum and candy; Beverages, including coffee and powdered beverages, and Cheese and grocery. Its portfolio includes various snack brands, including Nabisco, Oreo, LU and belVita biscuits; Cadbury, Milka, Cadbury Dairy Milk and Toblerone chocolate; Trident gum; Halls candy, and Tang powdered beverages. The Company sells its products to supermarket chains, wholesalers, supercenters, club stores, mass merchandisers, distributors, convenience stores, gasoline stations, drug stores, value stores and retail food outlets.</v>
      </c>
      <c r="E69" t="str">
        <f t="shared" si="25"/>
        <v>Food &amp; Tobacco</v>
      </c>
      <c r="F69" s="1">
        <f t="shared" si="26"/>
        <v>63.68</v>
      </c>
      <c r="G69" s="1">
        <f t="shared" si="27"/>
        <v>64.02</v>
      </c>
      <c r="H69" s="1">
        <f t="shared" si="28"/>
        <v>63.4</v>
      </c>
      <c r="I69" s="1">
        <f t="shared" si="29"/>
        <v>63.52</v>
      </c>
      <c r="J69" s="1">
        <f t="shared" si="30"/>
        <v>63.36</v>
      </c>
      <c r="K69" s="2">
        <f t="shared" si="31"/>
        <v>89451996480</v>
      </c>
      <c r="L69" s="5">
        <f t="shared" si="32"/>
        <v>5.0509999999999999E-3</v>
      </c>
      <c r="M69" s="6" cm="1">
        <f t="array" ref="M69">_FV(A69,"Beta")</f>
        <v>0.66649999999999998</v>
      </c>
      <c r="N69" s="7" cm="1">
        <f t="array" ref="N69">_FV(A69,"Volume")</f>
        <v>9993</v>
      </c>
      <c r="O69" s="6" cm="1">
        <f t="array" ref="O69">_FV(A69,"P/E",TRUE)</f>
        <v>24.1785</v>
      </c>
      <c r="P69" s="7" cm="1">
        <f t="array" ref="P69">_FV(A69,"Employees")</f>
        <v>79000</v>
      </c>
      <c r="Q69" t="str" cm="1">
        <f t="array" ref="Q69">_FV(A69,"Exchange")</f>
        <v>Nasdaq Stock Market</v>
      </c>
    </row>
    <row r="70" spans="1:17" x14ac:dyDescent="0.25">
      <c r="A70" t="e" vm="71">
        <v>#VALUE!</v>
      </c>
      <c r="B70" t="str">
        <f t="shared" si="22"/>
        <v>MNST</v>
      </c>
      <c r="C70" t="str">
        <f t="shared" si="23"/>
        <v>MONSTER BEVERAGE CORPORATION</v>
      </c>
      <c r="D70" t="str">
        <f t="shared" si="24"/>
        <v>Monster Beverage Corporation develops, markets, sells and distributes energy drink beverages, sodas and/or concentrates for energy drink beverages, primarily under various brand names, including Monster Energy, Monster Rehab, Monster Energy Extra Strength Nitrous Technology, Java Monster, Muscle Monster, Mega Monster Energy, Punch Monster, Juice Monster, Ubermonster, BU, Mutant Super Soda, Nalu, NOS, Burn, Mother, Ultra, Play and Power Play, Gladiator, Relentless, Samurai, BPM and Full Throttle. The Company has three segments: Monster Energy Drinks segment, which consists of its Monster Energy drinks, as well as Mutant Super Soda drinks; Strategic Brands segment, which includes various energy drink brands owned through The Coca-Cola Company (TCCC), and Other segment (Other), which includes the American Fruits &amp; Flavors (AFF) third-party products. The Strategic Brands segment sells concentrates and/or beverage bases to authorized bottling and canning operations.</v>
      </c>
      <c r="E70" t="str">
        <f t="shared" si="25"/>
        <v>Beverages</v>
      </c>
      <c r="F70" s="1">
        <f t="shared" si="26"/>
        <v>93.23</v>
      </c>
      <c r="G70" s="1">
        <f t="shared" si="27"/>
        <v>93.77</v>
      </c>
      <c r="H70" s="1">
        <f t="shared" si="28"/>
        <v>92.32</v>
      </c>
      <c r="I70" s="1">
        <f t="shared" si="29"/>
        <v>92.61</v>
      </c>
      <c r="J70" s="1">
        <f t="shared" si="30"/>
        <v>92.01</v>
      </c>
      <c r="K70" s="2">
        <f t="shared" si="31"/>
        <v>49277853906</v>
      </c>
      <c r="L70" s="5">
        <f t="shared" si="32"/>
        <v>1.3259E-2</v>
      </c>
      <c r="M70" s="6" cm="1">
        <f t="array" ref="M70">_FV(A70,"Beta")</f>
        <v>1.1026</v>
      </c>
      <c r="N70" s="7" cm="1">
        <f t="array" ref="N70">_FV(A70,"Volume")</f>
        <v>2154</v>
      </c>
      <c r="O70" s="6" cm="1">
        <f t="array" ref="O70">_FV(A70,"P/E",TRUE)</f>
        <v>13.683</v>
      </c>
      <c r="P70" s="7" cm="1">
        <f t="array" ref="P70">_FV(A70,"Employees")</f>
        <v>3666</v>
      </c>
      <c r="Q70" t="str" cm="1">
        <f t="array" ref="Q70">_FV(A70,"Exchange")</f>
        <v>Nasdaq Stock Market</v>
      </c>
    </row>
    <row r="71" spans="1:17" x14ac:dyDescent="0.25">
      <c r="A71" t="e" vm="72">
        <v>#VALUE!</v>
      </c>
      <c r="B71" t="str">
        <f t="shared" si="22"/>
        <v>NTES</v>
      </c>
      <c r="C71" t="str">
        <f t="shared" si="23"/>
        <v>NETEASE, INC.</v>
      </c>
      <c r="D71" t="str">
        <f t="shared" si="24"/>
        <v>NetEase Inc is a technology company. The Company operates three business segments. The Online Game Service segment is engaged in developing and operating online game services that cover mobile games and personal computer (PC) games. The games include Westward Journey, Onmyoji series and so on. The Youdao segment provides intelligent learning services. Its products and services include Youdao Premium Courses, Youdao Dictionary and Youdao Dictionary Pen. The Innovative Businesses and Others segment provides products Netease Cloud Music, Netease Mail, Netease News and other products. The Company conducts its businesses both in domestic and international markets, including Japan, the United States, Europe and Southeast Asia.</v>
      </c>
      <c r="E71" t="str">
        <f t="shared" si="25"/>
        <v>Software &amp; IT Services</v>
      </c>
      <c r="F71" s="1">
        <f t="shared" si="26"/>
        <v>113.5</v>
      </c>
      <c r="G71" s="1">
        <f t="shared" si="27"/>
        <v>116.36</v>
      </c>
      <c r="H71" s="1">
        <f t="shared" si="28"/>
        <v>113.13</v>
      </c>
      <c r="I71" s="1">
        <f t="shared" si="29"/>
        <v>115.93</v>
      </c>
      <c r="J71" s="1">
        <f t="shared" si="30"/>
        <v>117.39</v>
      </c>
      <c r="K71" s="4">
        <f t="shared" si="31"/>
        <v>78766420000</v>
      </c>
      <c r="L71" s="5">
        <f t="shared" si="32"/>
        <v>-3.3137E-2</v>
      </c>
      <c r="M71" s="6" cm="1">
        <f t="array" ref="M71">_FV(A71,"Beta")</f>
        <v>0.44130000000000003</v>
      </c>
      <c r="N71" s="7" cm="1">
        <f t="array" ref="N71">_FV(A71,"Volume")</f>
        <v>14580</v>
      </c>
      <c r="O71" s="6" cm="1">
        <f t="array" ref="O71">_FV(A71,"P/E",TRUE)</f>
        <v>20.252300000000002</v>
      </c>
      <c r="P71" s="7" cm="1">
        <f t="array" ref="P71">_FV(A71,"Employees")</f>
        <v>28239</v>
      </c>
      <c r="Q71" t="str" cm="1">
        <f t="array" ref="Q71">_FV(A71,"Exchange")</f>
        <v>Nasdaq Stock Market</v>
      </c>
    </row>
    <row r="72" spans="1:17" x14ac:dyDescent="0.25">
      <c r="A72" t="e" vm="73">
        <v>#VALUE!</v>
      </c>
      <c r="B72" t="str">
        <f t="shared" si="22"/>
        <v>NFLX</v>
      </c>
      <c r="C72" t="str">
        <f t="shared" si="23"/>
        <v>NETFLIX, INC.</v>
      </c>
      <c r="D72" t="str">
        <f t="shared" si="24"/>
        <v>Netflix, Inc. is a provider of subscription streaming entertainment service. The Company has paid streaming memberships in over 190 countries and it allows members to watch a variety of television (TV) series, documentaries and feature films across a wide variety of genres and languages. Members can watch as much as they want, anytime, anywhere, on any Internet-connected screen. Members can play, pause and resume watching, without commercials. It offers a variety of streaming membership plans, the price of which varies by country and the features of the plan. Pricing on its plans ranges from $3 to $23 per month. Members can watch content from Netflix through any Internet-connected device that offers the Netflix application, including smart TVs, game consoles, streaming media players, set-top boxes, smartphones and tablets. The Company acquires, licenses and produces content, including original programing.</v>
      </c>
      <c r="E72" t="str">
        <f t="shared" si="25"/>
        <v>Software &amp; IT Services</v>
      </c>
      <c r="F72" s="1">
        <f t="shared" si="26"/>
        <v>502.9</v>
      </c>
      <c r="G72" s="1">
        <f t="shared" si="27"/>
        <v>504.25</v>
      </c>
      <c r="H72" s="1">
        <f t="shared" si="28"/>
        <v>499.51</v>
      </c>
      <c r="I72" s="1">
        <f t="shared" si="29"/>
        <v>501.05</v>
      </c>
      <c r="J72" s="1">
        <f t="shared" si="30"/>
        <v>497.89</v>
      </c>
      <c r="K72" s="2">
        <f t="shared" si="31"/>
        <v>222987217830</v>
      </c>
      <c r="L72" s="5">
        <f t="shared" si="32"/>
        <v>1.0062E-2</v>
      </c>
      <c r="M72" s="6" cm="1">
        <f t="array" ref="M72">_FV(A72,"Beta")</f>
        <v>0.75409999999999999</v>
      </c>
      <c r="N72" s="7" cm="1">
        <f t="array" ref="N72">_FV(A72,"Volume")</f>
        <v>10320</v>
      </c>
      <c r="O72" s="6" cm="1">
        <f t="array" ref="O72">_FV(A72,"P/E",TRUE)</f>
        <v>62.3371</v>
      </c>
      <c r="P72" s="7" cm="1">
        <f t="array" ref="P72">_FV(A72,"Employees")</f>
        <v>9400</v>
      </c>
      <c r="Q72" t="str" cm="1">
        <f t="array" ref="Q72">_FV(A72,"Exchange")</f>
        <v>Nasdaq Stock Market</v>
      </c>
    </row>
    <row r="73" spans="1:17" x14ac:dyDescent="0.25">
      <c r="A73" t="e" vm="74">
        <v>#VALUE!</v>
      </c>
      <c r="B73" t="str">
        <f t="shared" si="22"/>
        <v>NVDA</v>
      </c>
      <c r="C73" t="str">
        <f t="shared" si="23"/>
        <v>NVIDIA CORPORATION</v>
      </c>
      <c r="D73" t="str">
        <f t="shared" si="24"/>
        <v>Nvidia Corporation focuses on personal computer (PC) graphics, graphics processing unit (GPU) and also on artificial intelligence (AI). It operates through two segments: GPU and Tegra Processor. Its GPU product brands are aimed at specialized markets, including GeForce for gamers; Quadro for designers; Tesla and DGX for AI data scientists and big data researchers; and GRID for cloud-based visual computing users. Its Tegra brand integrates an entire computer onto a single chip, and incorporates GPUs and multi-core central processing units (CPUs) to drive supercomputing for mobile gaming and entertainment devices, as well as autonomous robots, drones and cars. The Company's processor has created platforms that address four markets: Gaming, Professional Visualization, Datacenter, and Automotive. Its offerings include NVIDIA DGX AI supercomputer, the NVIDIA DRIVE AI car computing platform and the GeForce NOW cloud gaming service.</v>
      </c>
      <c r="E73" t="str">
        <f t="shared" si="25"/>
        <v>Semiconductors &amp; Semiconductor Equipment</v>
      </c>
      <c r="F73" s="1">
        <f t="shared" si="26"/>
        <v>624.48</v>
      </c>
      <c r="G73" s="1">
        <f t="shared" si="27"/>
        <v>629.79999999999995</v>
      </c>
      <c r="H73" s="1">
        <f t="shared" si="28"/>
        <v>607.04</v>
      </c>
      <c r="I73" s="1">
        <f t="shared" si="29"/>
        <v>608.5</v>
      </c>
      <c r="J73" s="1">
        <f t="shared" si="30"/>
        <v>599.66999999999996</v>
      </c>
      <c r="K73" s="2">
        <f t="shared" si="31"/>
        <v>388666110528</v>
      </c>
      <c r="L73" s="5">
        <f t="shared" si="32"/>
        <v>4.1373E-2</v>
      </c>
      <c r="M73" s="6" cm="1">
        <f t="array" ref="M73">_FV(A73,"Beta")</f>
        <v>1.3702000000000001</v>
      </c>
      <c r="N73" s="7" cm="1">
        <f t="array" ref="N73">_FV(A73,"Volume")</f>
        <v>212848</v>
      </c>
      <c r="O73" s="6" cm="1">
        <f t="array" ref="O73">_FV(A73,"P/E",TRUE)</f>
        <v>90.529399999999995</v>
      </c>
      <c r="P73" s="7" cm="1">
        <f t="array" ref="P73">_FV(A73,"Employees")</f>
        <v>18975</v>
      </c>
      <c r="Q73" t="str" cm="1">
        <f t="array" ref="Q73">_FV(A73,"Exchange")</f>
        <v>Nasdaq Stock Market</v>
      </c>
    </row>
    <row r="74" spans="1:17" x14ac:dyDescent="0.25">
      <c r="A74" t="e" vm="75">
        <v>#VALUE!</v>
      </c>
      <c r="B74" t="str">
        <f t="shared" si="22"/>
        <v>NXPI</v>
      </c>
      <c r="C74" t="str">
        <f t="shared" si="23"/>
        <v>NXP Semiconductors NV</v>
      </c>
      <c r="D74" t="str">
        <f t="shared" si="24"/>
        <v>NXP Semiconductors N.V. (NXP) is a holding company. The Company operates as a semiconductor company. The Company provides high performance mixed signal and standard product solutions. The Company's segments are High Performance Mixed Signal (HPMS), Standard Products (SP), and Corporate and Other. Its product solutions are used in a range of end-market applications, including automotive, personal security and identification, wireless and wireline infrastructure, mobile communications, multi-market industrial, consumer and computing. It engages with global original equipment manufacturers (OEMs) and sells products in all geographic regions. NXP's HPMS segment includes business lines, such as Automotive, Secure Identification Solutions (SIS), Secure Connected Devices (SCD), and Secure Interfaces and Infrastructure (SI&amp;I). The Company's SP segment supplies a range of standard semiconductor components, such as small signal discretes and power discretes.</v>
      </c>
      <c r="E74" t="str">
        <f t="shared" si="25"/>
        <v>Semiconductors &amp; Semiconductor Equipment</v>
      </c>
      <c r="F74" s="1">
        <f t="shared" si="26"/>
        <v>204.38</v>
      </c>
      <c r="G74" s="1">
        <f t="shared" si="27"/>
        <v>205.7</v>
      </c>
      <c r="H74" s="1">
        <f t="shared" si="28"/>
        <v>200.74039999999999</v>
      </c>
      <c r="I74" s="1">
        <f t="shared" si="29"/>
        <v>200.74039999999999</v>
      </c>
      <c r="J74" s="1">
        <f t="shared" si="30"/>
        <v>199.84</v>
      </c>
      <c r="K74" s="2">
        <f t="shared" si="31"/>
        <v>56357846314</v>
      </c>
      <c r="L74" s="5">
        <f t="shared" si="32"/>
        <v>2.2717999999999999E-2</v>
      </c>
      <c r="M74" s="6" cm="1">
        <f t="array" ref="M74">_FV(A74,"Beta")</f>
        <v>1.4320999999999999</v>
      </c>
      <c r="N74" s="7" cm="1">
        <f t="array" ref="N74">_FV(A74,"Volume")</f>
        <v>1938</v>
      </c>
      <c r="O74" s="6" cm="1">
        <f t="array" ref="O74">_FV(A74,"P/E",TRUE)</f>
        <v>141.70519999999999</v>
      </c>
      <c r="P74" s="7" cm="1">
        <f t="array" ref="P74">_FV(A74,"Employees")</f>
        <v>29000</v>
      </c>
      <c r="Q74" t="str" cm="1">
        <f t="array" ref="Q74">_FV(A74,"Exchange")</f>
        <v>Nasdaq Stock Market</v>
      </c>
    </row>
    <row r="75" spans="1:17" x14ac:dyDescent="0.25">
      <c r="A75" t="e" vm="76">
        <v>#VALUE!</v>
      </c>
      <c r="B75" t="str">
        <f t="shared" si="22"/>
        <v>ORLY</v>
      </c>
      <c r="C75" t="str">
        <f t="shared" si="23"/>
        <v>O'Reilly Automotive, Inc.</v>
      </c>
      <c r="D75" t="str">
        <f t="shared" si="24"/>
        <v>O'Reilly Automotive, Inc. is a specialty retailer of automotive aftermarket parts, tools, supplies, equipment and accessories in the United States. The Company sells its products to both do-it-yourself (DIY) and professional service provider customers. The Company's product line includes new and remanufactured automotive hard parts, such as alternators, starters, fuel pumps, water pumps, brake system components, batteries, belts, hoses, temperature control, chassis parts, driveline parts and engine parts; maintenance items, such as oil, antifreeze, fluids, filters, wiper blades, lighting, engine additives and appearance products, and accessories, such as floor mats, seat covers and truck accessories. The Company's stores offer various services and programs to its customers, such as used oil, oil filter and battery recycling; battery diagnostic testing; electrical and module testing; check engine light code extraction; loaner tool program; custom hydraulic hoses, and machine shops.</v>
      </c>
      <c r="E75" t="str">
        <f t="shared" si="25"/>
        <v>Specialty Retailers</v>
      </c>
      <c r="F75" s="1">
        <f t="shared" si="26"/>
        <v>536.88</v>
      </c>
      <c r="G75" s="1">
        <f t="shared" si="27"/>
        <v>547.97</v>
      </c>
      <c r="H75" s="1">
        <f t="shared" si="28"/>
        <v>536.47</v>
      </c>
      <c r="I75" s="1">
        <f t="shared" si="29"/>
        <v>545.96</v>
      </c>
      <c r="J75" s="1">
        <f t="shared" si="30"/>
        <v>544.20000000000005</v>
      </c>
      <c r="K75" s="2">
        <f t="shared" si="31"/>
        <v>37453640020</v>
      </c>
      <c r="L75" s="5">
        <f t="shared" si="32"/>
        <v>-1.3450999999999999E-2</v>
      </c>
      <c r="M75" s="6" cm="1">
        <f t="array" ref="M75">_FV(A75,"Beta")</f>
        <v>1.0868</v>
      </c>
      <c r="N75" s="7" cm="1">
        <f t="array" ref="N75">_FV(A75,"Volume")</f>
        <v>11</v>
      </c>
      <c r="O75" s="6" cm="1">
        <f t="array" ref="O75">_FV(A75,"P/E",TRUE)</f>
        <v>20.1554</v>
      </c>
      <c r="P75" s="7" cm="1">
        <f t="array" ref="P75">_FV(A75,"Employees")</f>
        <v>62530</v>
      </c>
      <c r="Q75" t="str" cm="1">
        <f t="array" ref="Q75">_FV(A75,"Exchange")</f>
        <v>Nasdaq Stock Market</v>
      </c>
    </row>
    <row r="76" spans="1:17" x14ac:dyDescent="0.25">
      <c r="A76" t="e" vm="77">
        <v>#VALUE!</v>
      </c>
      <c r="B76" t="str">
        <f t="shared" si="22"/>
        <v>OKTA</v>
      </c>
      <c r="C76" t="str">
        <f t="shared" si="23"/>
        <v>OKTA, INC.</v>
      </c>
      <c r="D76" t="str">
        <f t="shared" si="24"/>
        <v>Okta, Inc., is an independent provider of identity for the enterprise. The Company's Okta Identity Cloud platform provides identity management solutions that enable customers to secure their users and connect them to technology and applications. It allows users to access a range of cloud applications, Websites, mobile applications and service from various devices. Its platform is used by information technology (IT) organizations to secure their enterprise and by developers to build customer-facing Websites and applications. Okta Identity Cloud consists of a suite of products to manage and secure identities. It offers a range of products, such as Adaptive Multi-Factor Authentication, Universal Directory, Lifecycle Management products, Single Sign-On, application program interface (API) Access Management and Mobility Management. It also provides a platform to authenticate, authorize, and secure access for applications, devices and users.</v>
      </c>
      <c r="E76" t="str">
        <f t="shared" si="25"/>
        <v>Software &amp; IT Services</v>
      </c>
      <c r="F76" s="1">
        <f t="shared" si="26"/>
        <v>242.56</v>
      </c>
      <c r="G76" s="1">
        <f t="shared" si="27"/>
        <v>243.61</v>
      </c>
      <c r="H76" s="1">
        <f t="shared" si="28"/>
        <v>239.55</v>
      </c>
      <c r="I76" s="1">
        <f t="shared" si="29"/>
        <v>240.35</v>
      </c>
      <c r="J76" s="1">
        <f t="shared" si="30"/>
        <v>238.31</v>
      </c>
      <c r="K76" s="2">
        <f t="shared" si="31"/>
        <v>30333680384</v>
      </c>
      <c r="L76" s="5">
        <f t="shared" si="32"/>
        <v>1.7834000000000003E-2</v>
      </c>
      <c r="M76" s="6" cm="1">
        <f t="array" ref="M76">_FV(A76,"Beta")</f>
        <v>0.96279999999999999</v>
      </c>
      <c r="N76" s="7" cm="1">
        <f t="array" ref="N76">_FV(A76,"Volume")</f>
        <v>3902</v>
      </c>
      <c r="O76" t="e" cm="1" vm="17">
        <f t="array" ref="O76">_FV(A76,"P/E",TRUE)</f>
        <v>#VALUE!</v>
      </c>
      <c r="P76" s="7" cm="1">
        <f t="array" ref="P76">_FV(A76,"Employees")</f>
        <v>2806</v>
      </c>
      <c r="Q76" t="str" cm="1">
        <f t="array" ref="Q76">_FV(A76,"Exchange")</f>
        <v>Nasdaq Stock Market</v>
      </c>
    </row>
    <row r="77" spans="1:17" x14ac:dyDescent="0.25">
      <c r="A77" t="e" vm="78">
        <v>#VALUE!</v>
      </c>
      <c r="B77" t="str">
        <f t="shared" si="22"/>
        <v>PCAR</v>
      </c>
      <c r="C77" t="str">
        <f t="shared" si="23"/>
        <v>PACCAR INC</v>
      </c>
      <c r="D77" t="str">
        <f t="shared" si="24"/>
        <v>PACCAR Inc (PACCAR) is a technology company. The Company's segments include Truck, Parts and Financial Services. The Truck segment includes the design, manufacture and distribution of light-, medium- and heavy-duty commercial trucks. The Company's trucks are marketed under the Kenworth, Peterbilt and DAF nameplates. It also manufactures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Its Other business includes the manufacturing and marketing of industrial winches. The Company operates in Australia and Brazil and sells trucks and parts to customers in Asia, Africa, Middle East and South America.</v>
      </c>
      <c r="E77" t="str">
        <f t="shared" si="25"/>
        <v>Machinery, Equipment &amp; Components</v>
      </c>
      <c r="F77" s="1">
        <f t="shared" si="26"/>
        <v>91.84</v>
      </c>
      <c r="G77" s="1">
        <f t="shared" si="27"/>
        <v>92.73</v>
      </c>
      <c r="H77" s="1">
        <f t="shared" si="28"/>
        <v>91.79</v>
      </c>
      <c r="I77" s="1">
        <f t="shared" si="29"/>
        <v>92.73</v>
      </c>
      <c r="J77" s="1">
        <f t="shared" si="30"/>
        <v>92.03</v>
      </c>
      <c r="K77" s="2">
        <f t="shared" si="31"/>
        <v>31882843776</v>
      </c>
      <c r="L77" s="5">
        <f t="shared" si="32"/>
        <v>-2.065E-3</v>
      </c>
      <c r="M77" s="6" cm="1">
        <f t="array" ref="M77">_FV(A77,"Beta")</f>
        <v>1.0096000000000001</v>
      </c>
      <c r="N77" s="7" cm="1">
        <f t="array" ref="N77">_FV(A77,"Volume")</f>
        <v>150</v>
      </c>
      <c r="O77" s="6" cm="1">
        <f t="array" ref="O77">_FV(A77,"P/E",TRUE)</f>
        <v>22.6691</v>
      </c>
      <c r="P77" s="7" cm="1">
        <f t="array" ref="P77">_FV(A77,"Employees")</f>
        <v>26000</v>
      </c>
      <c r="Q77" t="str" cm="1">
        <f t="array" ref="Q77">_FV(A77,"Exchange")</f>
        <v>Nasdaq Stock Market</v>
      </c>
    </row>
    <row r="78" spans="1:17" x14ac:dyDescent="0.25">
      <c r="A78" t="e" vm="79">
        <v>#VALUE!</v>
      </c>
      <c r="B78" t="str">
        <f t="shared" si="22"/>
        <v>PAYX</v>
      </c>
      <c r="C78" t="str">
        <f t="shared" si="23"/>
        <v>PAYCHEX, INC.</v>
      </c>
      <c r="D78" t="str">
        <f t="shared" si="24"/>
        <v>Paychex, Inc. is a provider of integrated human capital management (HCM) solutions for payroll, human resource (HR), retirement and insurance services for small- to medium-sized businesses in the United States. The Company also has operations in Germany. The Company offers services, including Payroll processing, Human Resource Services, and Accounting and Financial Services. As of May 31, 2016, the Company serviced approximately 605,000 payroll clients. It offers a portfolio of HCM services and products that allows its clients to meet their payroll and HR needs. Its payroll-related ancillary services and human resource service (HRS) offerings often leverage the information gathered in the base payroll processing service, allowing it to provide outsourcing services covering the HCM spectrum. The Company, through its HCM software-as-a-service platform, Paychex Flex, provides an integrated product suite that covers the employee life cycle from recruiting and hiring to retirement.</v>
      </c>
      <c r="E78" t="str">
        <f t="shared" si="25"/>
        <v>Professional &amp; Commercial Services</v>
      </c>
      <c r="F78" s="1">
        <f t="shared" si="26"/>
        <v>101.89</v>
      </c>
      <c r="G78" s="1">
        <f t="shared" si="27"/>
        <v>102.1884</v>
      </c>
      <c r="H78" s="1">
        <f t="shared" si="28"/>
        <v>101.12</v>
      </c>
      <c r="I78" s="1">
        <f t="shared" si="29"/>
        <v>101.49</v>
      </c>
      <c r="J78" s="1">
        <f t="shared" si="30"/>
        <v>100.75</v>
      </c>
      <c r="K78" s="2">
        <f t="shared" si="31"/>
        <v>36717090589</v>
      </c>
      <c r="L78" s="5">
        <f t="shared" si="32"/>
        <v>1.1314999999999999E-2</v>
      </c>
      <c r="M78" s="6" cm="1">
        <f t="array" ref="M78">_FV(A78,"Beta")</f>
        <v>0.88460000000000005</v>
      </c>
      <c r="N78" s="7" cm="1">
        <f t="array" ref="N78">_FV(A78,"Volume")</f>
        <v>50</v>
      </c>
      <c r="O78" s="6" cm="1">
        <f t="array" ref="O78">_FV(A78,"P/E",TRUE)</f>
        <v>34.940300000000001</v>
      </c>
      <c r="P78" s="7" cm="1">
        <f t="array" ref="P78">_FV(A78,"Employees")</f>
        <v>15600</v>
      </c>
      <c r="Q78" t="str" cm="1">
        <f t="array" ref="Q78">_FV(A78,"Exchange")</f>
        <v>Nasdaq Stock Market</v>
      </c>
    </row>
    <row r="79" spans="1:17" x14ac:dyDescent="0.25">
      <c r="A79" t="e" vm="80">
        <v>#VALUE!</v>
      </c>
      <c r="B79" t="str">
        <f t="shared" si="22"/>
        <v>PYPL</v>
      </c>
      <c r="C79" t="str">
        <f t="shared" si="23"/>
        <v>PAYPAL HOLDINGS, INC.</v>
      </c>
      <c r="D79" t="str">
        <f t="shared" si="24"/>
        <v>PayPal Holdings, Inc. is a technology platform and digital payments company that enables digital and mobile payments on behalf of consumers and merchants. The Company's combined payment solutions, including its PayPal, PayPal Credit, Braintree, Venmo, Xoom, iZettle, and Hyperwallet products and services, comprise its Payments Platform. It operates a two-sided network that links its customers around the globe to facilitate the processing of payment transactions, allowing it to connect merchants and consumers. The Company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The Company also offers consumers person-to-person (P2P) payment solutions through its PayPal Website and mobile application, Venmo and Xoom.</v>
      </c>
      <c r="E79" t="str">
        <f t="shared" si="25"/>
        <v>Software &amp; IT Services</v>
      </c>
      <c r="F79" s="1">
        <f t="shared" si="26"/>
        <v>257.17</v>
      </c>
      <c r="G79" s="1">
        <f t="shared" si="27"/>
        <v>257.60000000000002</v>
      </c>
      <c r="H79" s="1">
        <f t="shared" si="28"/>
        <v>252.43</v>
      </c>
      <c r="I79" s="1">
        <f t="shared" si="29"/>
        <v>254.13</v>
      </c>
      <c r="J79" s="1">
        <f t="shared" si="30"/>
        <v>250.69</v>
      </c>
      <c r="K79" s="2">
        <f t="shared" si="31"/>
        <v>302104799760</v>
      </c>
      <c r="L79" s="5">
        <f t="shared" si="32"/>
        <v>2.5849E-2</v>
      </c>
      <c r="M79" s="6" cm="1">
        <f t="array" ref="M79">_FV(A79,"Beta")</f>
        <v>1.1587000000000001</v>
      </c>
      <c r="N79" s="7" cm="1">
        <f t="array" ref="N79">_FV(A79,"Volume")</f>
        <v>27235</v>
      </c>
      <c r="O79" s="6" cm="1">
        <f t="array" ref="O79">_FV(A79,"P/E",TRUE)</f>
        <v>58.5959</v>
      </c>
      <c r="P79" s="7" cm="1">
        <f t="array" ref="P79">_FV(A79,"Employees")</f>
        <v>26500</v>
      </c>
      <c r="Q79" t="str" cm="1">
        <f t="array" ref="Q79">_FV(A79,"Exchange")</f>
        <v>Nasdaq Stock Market</v>
      </c>
    </row>
    <row r="80" spans="1:17" x14ac:dyDescent="0.25">
      <c r="A80" t="e" vm="81">
        <v>#VALUE!</v>
      </c>
      <c r="B80" t="str">
        <f t="shared" si="22"/>
        <v>PTON</v>
      </c>
      <c r="C80" t="str">
        <f t="shared" si="23"/>
        <v>PELOTON INTERACTIVE, INC.</v>
      </c>
      <c r="D80" t="str">
        <f t="shared" si="24"/>
        <v>Peloton Interactive, Inc. is a provider of interactive fitness platform. The Company provides connected, technology-enabled fitness and the streaming of instructor-led boutique classes to its members. The Company operates and manages its business in three reportable segments: connected fitness product segment, subscription segment, and other segment. Its connected fitness product segment consists of its Bike and Tread and related accessories. Its other segment consists of Peloton branded apparels.</v>
      </c>
      <c r="E80" t="str">
        <f t="shared" si="25"/>
        <v>Leisure Products</v>
      </c>
      <c r="F80" s="1">
        <f t="shared" si="26"/>
        <v>101.16</v>
      </c>
      <c r="G80" s="1">
        <f t="shared" si="27"/>
        <v>102.11</v>
      </c>
      <c r="H80" s="1">
        <f t="shared" si="28"/>
        <v>98.12</v>
      </c>
      <c r="I80" s="1">
        <f t="shared" si="29"/>
        <v>101.72</v>
      </c>
      <c r="J80" s="1">
        <f t="shared" si="30"/>
        <v>100.9</v>
      </c>
      <c r="K80" s="2">
        <f t="shared" si="31"/>
        <v>30175350228</v>
      </c>
      <c r="L80" s="5">
        <f t="shared" si="32"/>
        <v>2.5769999999999999E-3</v>
      </c>
      <c r="M80" t="e" cm="1" vm="38">
        <f t="array" ref="M80">_FV(A80,"Beta")</f>
        <v>#VALUE!</v>
      </c>
      <c r="N80" s="7" cm="1">
        <f t="array" ref="N80">_FV(A80,"Volume")</f>
        <v>25669</v>
      </c>
      <c r="O80" s="6" cm="1">
        <f t="array" ref="O80">_FV(A80,"P/E",TRUE)</f>
        <v>151.10230000000001</v>
      </c>
      <c r="P80" s="7" cm="1">
        <f t="array" ref="P80">_FV(A80,"Employees")</f>
        <v>3281</v>
      </c>
      <c r="Q80" t="str" cm="1">
        <f t="array" ref="Q80">_FV(A80,"Exchange")</f>
        <v>Nasdaq Stock Market</v>
      </c>
    </row>
    <row r="81" spans="1:17" x14ac:dyDescent="0.25">
      <c r="A81" t="e" vm="82">
        <v>#VALUE!</v>
      </c>
      <c r="B81" t="str">
        <f t="shared" si="22"/>
        <v>PEP</v>
      </c>
      <c r="C81" t="str">
        <f t="shared" si="23"/>
        <v>PEPSICO, INC.</v>
      </c>
      <c r="D81" t="str">
        <f t="shared" si="24"/>
        <v>PepsiCo, Inc. is a global food and beverage company. The Company's portfolio of brands includes Frito-Lay, Gatorade, Pepsi-Cola, Quaker and Tropicana. The Company operates through six segments: Frito-Lay North America (FLNA), Quaker Foods North America (QFNA), North America Beverages (NAB), Latin America, Europe Sub-Saharan Africa (ESSA), and Asia, Middle East and North Africa (AMENA). The FLNA segment includes its branded food and snack businesses in the United States and Canada. The QFNA segment includes its cereal, rice, pasta and other branded food businesses in the United States and Canada. The NAB segment includes its beverage businesses in the United States and Canada. The Latin America segment includes its beverage, food and snack businesses in Latin America. The ESSA segment includes its beverage, food and snack businesses in Europe and Sub-Saharan Africa. The AMENA segment includes its beverage, food and snack businesses in Asia, Middle East and North Africa.</v>
      </c>
      <c r="E81" t="str">
        <f t="shared" si="25"/>
        <v>Beverages</v>
      </c>
      <c r="F81" s="1">
        <f t="shared" si="26"/>
        <v>147.85</v>
      </c>
      <c r="G81" s="1">
        <f t="shared" si="27"/>
        <v>148.35</v>
      </c>
      <c r="H81" s="1">
        <f t="shared" si="28"/>
        <v>147.01</v>
      </c>
      <c r="I81" s="1">
        <f t="shared" si="29"/>
        <v>147.63999999999999</v>
      </c>
      <c r="J81" s="1">
        <f t="shared" si="30"/>
        <v>147.1</v>
      </c>
      <c r="K81" s="2">
        <f t="shared" si="31"/>
        <v>203238000000</v>
      </c>
      <c r="L81" s="5">
        <f t="shared" si="32"/>
        <v>5.0990000000000002E-3</v>
      </c>
      <c r="M81" s="6" cm="1">
        <f t="array" ref="M81">_FV(A81,"Beta")</f>
        <v>0.61019999999999996</v>
      </c>
      <c r="N81" s="7" cm="1">
        <f t="array" ref="N81">_FV(A81,"Volume")</f>
        <v>695</v>
      </c>
      <c r="O81" s="6" cm="1">
        <f t="array" ref="O81">_FV(A81,"P/E",TRUE)</f>
        <v>27.419</v>
      </c>
      <c r="P81" s="7" cm="1">
        <f t="array" ref="P81">_FV(A81,"Employees")</f>
        <v>291000</v>
      </c>
      <c r="Q81" t="str" cm="1">
        <f t="array" ref="Q81">_FV(A81,"Exchange")</f>
        <v>Nasdaq Stock Market</v>
      </c>
    </row>
    <row r="82" spans="1:17" x14ac:dyDescent="0.25">
      <c r="A82" t="e" vm="83">
        <v>#VALUE!</v>
      </c>
      <c r="B82" t="str">
        <f t="shared" si="22"/>
        <v>PDD</v>
      </c>
      <c r="C82" t="str">
        <f t="shared" si="23"/>
        <v>PINDUODUO INC.</v>
      </c>
      <c r="D82" t="str">
        <f t="shared" si="24"/>
        <v>Pinduoduo Inc. is an e-commerce platform operator. It offers Pinduoduo, a mobile e-commerce platform. The Company’s platform provides value-for-money merchandise and interactive shopping options. The platform is built to resemble a virtual bazaar of a broad spectrum of products. It offers both individual and team purchase options. It offers a suite of product categories that include apparel, shoes, bags, childcare products, food and beverage, fresh produce, electronic appliances, furniture, household goods, cosmetics, sports and fitness goods, and auto accessories. The platform provides a range of online payment options that include Weixin Pay, QQ Wallet, Alipay and Apple Pay.</v>
      </c>
      <c r="E82" t="str">
        <f t="shared" si="25"/>
        <v>Software &amp; IT Services</v>
      </c>
      <c r="F82" s="1">
        <f t="shared" si="26"/>
        <v>130.41</v>
      </c>
      <c r="G82" s="1">
        <f t="shared" si="27"/>
        <v>131.79</v>
      </c>
      <c r="H82" s="1">
        <f t="shared" si="28"/>
        <v>128.69999999999999</v>
      </c>
      <c r="I82" s="1">
        <f t="shared" si="29"/>
        <v>130.71</v>
      </c>
      <c r="J82" s="1">
        <f t="shared" si="30"/>
        <v>129.29</v>
      </c>
      <c r="K82" s="4">
        <f t="shared" si="31"/>
        <v>163441418490</v>
      </c>
      <c r="L82" s="5">
        <f t="shared" si="32"/>
        <v>8.6629999999999988E-3</v>
      </c>
      <c r="M82" t="e" cm="1" vm="38">
        <f t="array" ref="M82">_FV(A82,"Beta")</f>
        <v>#VALUE!</v>
      </c>
      <c r="N82" s="7" cm="1">
        <f t="array" ref="N82">_FV(A82,"Volume")</f>
        <v>68148</v>
      </c>
      <c r="O82" t="e" cm="1" vm="17">
        <f t="array" ref="O82">_FV(A82,"P/E",TRUE)</f>
        <v>#VALUE!</v>
      </c>
      <c r="P82" s="7" cm="1">
        <f t="array" ref="P82">_FV(A82,"Employees")</f>
        <v>7986</v>
      </c>
      <c r="Q82" t="str" cm="1">
        <f t="array" ref="Q82">_FV(A82,"Exchange")</f>
        <v>Nasdaq Stock Market</v>
      </c>
    </row>
    <row r="83" spans="1:17" x14ac:dyDescent="0.25">
      <c r="A83" t="e" vm="84">
        <v>#VALUE!</v>
      </c>
      <c r="B83" t="str">
        <f t="shared" si="22"/>
        <v>QCOM</v>
      </c>
      <c r="C83" t="str">
        <f t="shared" si="23"/>
        <v>QUALCOMM INCORPORATED</v>
      </c>
      <c r="D83" t="str">
        <f t="shared" si="24"/>
        <v>Qualcomm Incorporated is a wireless technology company. The Company is engaged in the development, launch and expansion of technologies like fifth-generation (5G). The Company operates through three segments: QCT (Qualcomm CDMA Technologies) segment, QTL (Qualcomm Technology Licensing) segment and QSI (Qualcomm Strategic Initiatives) segment. It is specialized in offering third-generation (3G), fourth-generation (4G) wireless technologies and 5G wireless technologies. Its offered technologies and products are used in mobile devices and other wireless products, including network equipment, broadband gateway equipment, consumer electronic devices and other connected devices. Its technologies and products are also used in industry segments and applications beyond mobile, including automotive, computing, Internet of Things (IoT) and networking.</v>
      </c>
      <c r="E83" t="str">
        <f t="shared" si="25"/>
        <v>Semiconductors &amp; Semiconductor Equipment</v>
      </c>
      <c r="F83" s="1">
        <f t="shared" si="26"/>
        <v>132.91</v>
      </c>
      <c r="G83" s="1">
        <f t="shared" si="27"/>
        <v>134</v>
      </c>
      <c r="H83" s="1">
        <f t="shared" si="28"/>
        <v>131.33000000000001</v>
      </c>
      <c r="I83" s="1">
        <f t="shared" si="29"/>
        <v>131.33000000000001</v>
      </c>
      <c r="J83" s="1">
        <f t="shared" si="30"/>
        <v>131.46</v>
      </c>
      <c r="K83" s="2">
        <f t="shared" si="31"/>
        <v>149922480000</v>
      </c>
      <c r="L83" s="5">
        <f t="shared" si="32"/>
        <v>1.103E-2</v>
      </c>
      <c r="M83" s="6" cm="1">
        <f t="array" ref="M83">_FV(A83,"Beta")</f>
        <v>1.3433999999999999</v>
      </c>
      <c r="N83" s="7" cm="1">
        <f t="array" ref="N83">_FV(A83,"Volume")</f>
        <v>19468</v>
      </c>
      <c r="O83" s="6" cm="1">
        <f t="array" ref="O83">_FV(A83,"P/E",TRUE)</f>
        <v>19.043399999999998</v>
      </c>
      <c r="P83" s="7" cm="1">
        <f t="array" ref="P83">_FV(A83,"Employees")</f>
        <v>41000</v>
      </c>
      <c r="Q83" t="str" cm="1">
        <f t="array" ref="Q83">_FV(A83,"Exchange")</f>
        <v>Nasdaq Stock Market</v>
      </c>
    </row>
    <row r="84" spans="1:17" x14ac:dyDescent="0.25">
      <c r="A84" t="e" vm="85">
        <v>#VALUE!</v>
      </c>
      <c r="B84" t="str">
        <f t="shared" si="22"/>
        <v>REGN</v>
      </c>
      <c r="C84" t="str">
        <f t="shared" si="23"/>
        <v>REGENERON PHARMACEUTICALS, INC.</v>
      </c>
      <c r="D84" t="str">
        <f t="shared" si="24"/>
        <v>Regeneron Pharmaceuticals, Inc. is a biopharmaceutical company that discovers, invents, develops, manufactures and commercializes medicines for the treatment of serious medical conditions. The Company commercializes medicines for eye diseases, high low-density lipoprotein (LDL) cholesterol, and an inflammatory condition and have product candidates in development in other areas, including rheumatoid arthritis, asthma, atopic dermatitis, pain, cancer, and infectious diseases. The Company's marketed products include EYLEA (aflibercept) Injection, Praluent (alirocumab) Injection, ARCALYST (rilonacept) Injection for Subcutaneous Use, Kevzara (sarilumab) Solution for Subcutaneous Injection and ZALTRAP (ziv-aflibercept) Injection for Intravenous Infusion. As of December 31, 2016, the Company had 16 product candidates in clinical development, which consisted of a Trap-based clinical program and 15 fully human monoclonal antibody product candidates.</v>
      </c>
      <c r="E84" t="str">
        <f t="shared" si="25"/>
        <v>Biotechnology &amp; Medical Research</v>
      </c>
      <c r="F84" s="1">
        <f t="shared" si="26"/>
        <v>500.47</v>
      </c>
      <c r="G84" s="1">
        <f t="shared" si="27"/>
        <v>509.74</v>
      </c>
      <c r="H84" s="1">
        <f t="shared" si="28"/>
        <v>500.08</v>
      </c>
      <c r="I84" s="1">
        <f t="shared" si="29"/>
        <v>509.74</v>
      </c>
      <c r="J84" s="1">
        <f t="shared" si="30"/>
        <v>506.72</v>
      </c>
      <c r="K84" s="2">
        <f t="shared" si="31"/>
        <v>53311665904</v>
      </c>
      <c r="L84" s="5">
        <f t="shared" si="32"/>
        <v>-1.2334000000000001E-2</v>
      </c>
      <c r="M84" s="6" cm="1">
        <f t="array" ref="M84">_FV(A84,"Beta")</f>
        <v>0.19059999999999999</v>
      </c>
      <c r="N84" s="7" cm="1">
        <f t="array" ref="N84">_FV(A84,"Volume")</f>
        <v>315</v>
      </c>
      <c r="O84" s="6" cm="1">
        <f t="array" ref="O84">_FV(A84,"P/E",TRUE)</f>
        <v>14.1593</v>
      </c>
      <c r="P84" s="7" cm="1">
        <f t="array" ref="P84">_FV(A84,"Employees")</f>
        <v>9123</v>
      </c>
      <c r="Q84" t="str" cm="1">
        <f t="array" ref="Q84">_FV(A84,"Exchange")</f>
        <v>Nasdaq Stock Market</v>
      </c>
    </row>
    <row r="85" spans="1:17" x14ac:dyDescent="0.25">
      <c r="A85" t="e" vm="86">
        <v>#VALUE!</v>
      </c>
      <c r="B85" t="str">
        <f t="shared" si="22"/>
        <v>ROST</v>
      </c>
      <c r="C85" t="str">
        <f t="shared" si="23"/>
        <v>ROSS STORES, INC.</v>
      </c>
      <c r="D85" t="str">
        <f t="shared" si="24"/>
        <v>Ross Stores, Inc. and its subsidiaries operate two brands of off-price retail apparel and home fashion stores-Ross Dress for Less (Ross) and dd's DISCOUNTS. The Company is the off-price apparel and home fashion chain in the United States, with 1,340 locations in 36 states, the District of Columbia and Guam, as of January 28, 2017. The Company offers in-season, name brand and designer apparel, accessories, footwear, and home fashions for the entire family at savings of 20% to 60% off department and specialty store regular prices every day. The Company also operated 193 dd's DISCOUNTS stores in 15 states as of January 28, 2017. As of January 28, 2017, the Company operated a total of 1,533 stores consisted of 1,340 Ross stores and 193 dd's DISCOUNTS stores. As of January 28, 2017, the Company owned and operated six distribution processing facilities-three in California, one in Pennsylvania, and two in South Carolina.</v>
      </c>
      <c r="E85" t="str">
        <f t="shared" si="25"/>
        <v>Specialty Retailers</v>
      </c>
      <c r="F85" s="1">
        <f t="shared" si="26"/>
        <v>123.51</v>
      </c>
      <c r="G85" s="1">
        <f t="shared" si="27"/>
        <v>124.59</v>
      </c>
      <c r="H85" s="1">
        <f t="shared" si="28"/>
        <v>122.99</v>
      </c>
      <c r="I85" s="1">
        <f t="shared" si="29"/>
        <v>123.9</v>
      </c>
      <c r="J85" s="1">
        <f t="shared" si="30"/>
        <v>123.25</v>
      </c>
      <c r="K85" s="2">
        <f t="shared" si="31"/>
        <v>44045086365</v>
      </c>
      <c r="L85" s="5">
        <f t="shared" si="32"/>
        <v>2.1099999999999999E-3</v>
      </c>
      <c r="M85" s="6" cm="1">
        <f t="array" ref="M85">_FV(A85,"Beta")</f>
        <v>1.0435000000000001</v>
      </c>
      <c r="N85" s="7" cm="1">
        <f t="array" ref="N85">_FV(A85,"Volume")</f>
        <v>966</v>
      </c>
      <c r="O85" s="6" cm="1">
        <f t="array" ref="O85">_FV(A85,"P/E",TRUE)</f>
        <v>50.796399999999998</v>
      </c>
      <c r="P85" s="7" cm="1">
        <f t="array" ref="P85">_FV(A85,"Employees")</f>
        <v>93700</v>
      </c>
      <c r="Q85" t="str" cm="1">
        <f t="array" ref="Q85">_FV(A85,"Exchange")</f>
        <v>Nasdaq Stock Market</v>
      </c>
    </row>
    <row r="86" spans="1:17" x14ac:dyDescent="0.25">
      <c r="A86" t="e" vm="87">
        <v>#VALUE!</v>
      </c>
      <c r="B86" t="str">
        <f t="shared" si="22"/>
        <v>SGEN</v>
      </c>
      <c r="C86" t="str">
        <f t="shared" si="23"/>
        <v>SEAGEN INC.</v>
      </c>
      <c r="D86" t="str">
        <f t="shared" si="24"/>
        <v>Seagen Inc., formerly Seattle Genetics, Inc., is a biotechnology company focused on the development and commercialization of therapies for the treatment of cancer. The Company is engaged in the development and sale of pharmaceutical products on its own behalf or in collaboration with others. The Company is commercializing ADCETRIS or brentuximab vedotin, for the treatment of certain CD30-expressing lymphomas; PADCEV or enfortumab vedotin-ejfv, for the treatment of certain metastatic urothelial cancers, and TUKYSA or tucatinib, for treatment of certain metastatic human epidermal growth factor receptor 2 (HER2)-positive breast cancers. The Company is also developing a pipeline of therapies for solid tumors and blood-related cancers designed to address unmet medical needs. Its pipeline includes ladiratuzumab vedotin, an antibody-drug conjugate (ADC) targeting LIV-1.</v>
      </c>
      <c r="E86" t="str">
        <f t="shared" si="25"/>
        <v>Biotechnology &amp; Medical Research</v>
      </c>
      <c r="F86" s="1">
        <f t="shared" si="26"/>
        <v>153.66999999999999</v>
      </c>
      <c r="G86" s="1">
        <f t="shared" si="27"/>
        <v>155.85</v>
      </c>
      <c r="H86" s="1">
        <f t="shared" si="28"/>
        <v>152.52000000000001</v>
      </c>
      <c r="I86" s="1">
        <f t="shared" si="29"/>
        <v>154.93</v>
      </c>
      <c r="J86" s="1">
        <f t="shared" si="30"/>
        <v>153.34</v>
      </c>
      <c r="K86" s="2">
        <f t="shared" si="31"/>
        <v>27887585956</v>
      </c>
      <c r="L86" s="5">
        <f t="shared" si="32"/>
        <v>2.1519999999999998E-3</v>
      </c>
      <c r="M86" s="6" cm="1">
        <f t="array" ref="M86">_FV(A86,"Beta")</f>
        <v>0.86099999999999999</v>
      </c>
      <c r="N86" s="7" cm="1">
        <f t="array" ref="N86">_FV(A86,"Volume")</f>
        <v>814998</v>
      </c>
      <c r="O86" s="6" cm="1">
        <f t="array" ref="O86">_FV(A86,"P/E",TRUE)</f>
        <v>42.661499999999997</v>
      </c>
      <c r="P86" s="7" cm="1">
        <f t="array" ref="P86">_FV(A86,"Employees")</f>
        <v>2092</v>
      </c>
      <c r="Q86" t="str" cm="1">
        <f t="array" ref="Q86">_FV(A86,"Exchange")</f>
        <v>Nasdaq Stock Market</v>
      </c>
    </row>
    <row r="87" spans="1:17" x14ac:dyDescent="0.25">
      <c r="A87" t="e" vm="88">
        <v>#VALUE!</v>
      </c>
      <c r="B87" t="str">
        <f t="shared" si="22"/>
        <v>SIRI</v>
      </c>
      <c r="C87" t="str">
        <f t="shared" si="23"/>
        <v>SIRIUS XM HOLDINGS INC.</v>
      </c>
      <c r="D87" t="str">
        <f t="shared" si="24"/>
        <v>Sirius XM Holdings Inc. transmits music, sports, entertainment, comedy, talk, news, traffic and weather channels, as well as infotainment services, in the United States on a subscription fee basis through its two satellite radio systems. Subscribers can also receive music and other channels, and features, such as SiriusXM On Demand and MySXM, over its Internet radio service, including through applications for mobile devices, home devices and other consumer electronic equipment. It also provides connected vehicle services. It is developing a product, 360L, which combines its satellite and Internet services into a single, cohesive in-vehicle entertainment experience. It also offers satellite radio services to customers of certain rental car companies. Its Internet radio service also includes channels and features that are not available on its satellite radio service. As of December 31, 2016, the Company owned a fleet of five satellites: SIRIUS FM-5, SIRIUS FM-6, XM-3, XM-4 and XM-5.</v>
      </c>
      <c r="E87" t="str">
        <f t="shared" si="25"/>
        <v>Media &amp; Publishing</v>
      </c>
      <c r="F87" s="1">
        <f t="shared" si="26"/>
        <v>6.14</v>
      </c>
      <c r="G87" s="1">
        <f t="shared" si="27"/>
        <v>6.1749999999999998</v>
      </c>
      <c r="H87" s="1">
        <f t="shared" si="28"/>
        <v>5.97</v>
      </c>
      <c r="I87" s="1">
        <f t="shared" si="29"/>
        <v>6.05</v>
      </c>
      <c r="J87" s="1">
        <f t="shared" si="30"/>
        <v>5.95</v>
      </c>
      <c r="K87" s="2">
        <f t="shared" si="31"/>
        <v>25117303240</v>
      </c>
      <c r="L87" s="5">
        <f t="shared" si="32"/>
        <v>3.1932999999999996E-2</v>
      </c>
      <c r="M87" s="6" cm="1">
        <f t="array" ref="M87">_FV(A87,"Beta")</f>
        <v>1.0868</v>
      </c>
      <c r="N87" s="7" cm="1">
        <f t="array" ref="N87">_FV(A87,"Volume")</f>
        <v>16732</v>
      </c>
      <c r="O87" s="6" cm="1">
        <f t="array" ref="O87">_FV(A87,"P/E",TRUE)</f>
        <v>689.11339999999996</v>
      </c>
      <c r="P87" s="7" cm="1">
        <f t="array" ref="P87">_FV(A87,"Employees")</f>
        <v>5726</v>
      </c>
      <c r="Q87" t="str" cm="1">
        <f t="array" ref="Q87">_FV(A87,"Exchange")</f>
        <v>Nasdaq Stock Market</v>
      </c>
    </row>
    <row r="88" spans="1:17" x14ac:dyDescent="0.25">
      <c r="A88" t="e" vm="89">
        <v>#VALUE!</v>
      </c>
      <c r="B88" t="str">
        <f t="shared" si="22"/>
        <v>SWKS</v>
      </c>
      <c r="C88" t="str">
        <f t="shared" si="23"/>
        <v>SKYWORKS SOLUTIONS, INC.</v>
      </c>
      <c r="D88" t="str">
        <f t="shared" si="24"/>
        <v>Skyworks Solutions Inc. designs, develops, manufactures and markets semiconductor products, including intellectual property. The Company's analog semiconductors are connecting people, places, and things, spanning a number of new and unimagined applications within the automotive, broadband, cellular infrastructure, connected home, industrial, medical, military, smartphone, tablet and wearable markets. Its geographical segments include the United States, Other Americas, China, Taiwan, South Korea, Other Asia-Pacific, Europe, Middle East and Africa. It operates throughout the world with engineering, manufacturing, sales and service facilities throughout Asia, Europe and North America. It is engaged with key original equipment manufacturers (OEM), smartphone providers and baseband reference design partners. Its product portfolio consists of various solutions, including amplifiers, attenuators, detectors, diodes, filters, front-end modules, hybrid, mixers, switches, and modulators.</v>
      </c>
      <c r="E88" t="str">
        <f t="shared" si="25"/>
        <v>Semiconductors &amp; Semiconductor Equipment</v>
      </c>
      <c r="F88" s="1">
        <f t="shared" si="26"/>
        <v>168.88</v>
      </c>
      <c r="G88" s="1">
        <f t="shared" si="27"/>
        <v>170.17</v>
      </c>
      <c r="H88" s="1">
        <f t="shared" si="28"/>
        <v>166.87</v>
      </c>
      <c r="I88" s="1">
        <f t="shared" si="29"/>
        <v>168.17</v>
      </c>
      <c r="J88" s="1">
        <f t="shared" si="30"/>
        <v>166.7</v>
      </c>
      <c r="K88" s="2">
        <f t="shared" si="31"/>
        <v>27520930000</v>
      </c>
      <c r="L88" s="5">
        <f t="shared" si="32"/>
        <v>1.3077E-2</v>
      </c>
      <c r="M88" s="6" cm="1">
        <f t="array" ref="M88">_FV(A88,"Beta")</f>
        <v>1.0769</v>
      </c>
      <c r="N88" s="7" cm="1">
        <f t="array" ref="N88">_FV(A88,"Volume")</f>
        <v>2548</v>
      </c>
      <c r="O88" s="6" cm="1">
        <f t="array" ref="O88">_FV(A88,"P/E",TRUE)</f>
        <v>23.331199999999999</v>
      </c>
      <c r="P88" s="7" cm="1">
        <f t="array" ref="P88">_FV(A88,"Employees")</f>
        <v>10000</v>
      </c>
      <c r="Q88" t="str" cm="1">
        <f t="array" ref="Q88">_FV(A88,"Exchange")</f>
        <v>Nasdaq Stock Market</v>
      </c>
    </row>
    <row r="89" spans="1:17" x14ac:dyDescent="0.25">
      <c r="A89" t="e" vm="90">
        <v>#VALUE!</v>
      </c>
      <c r="B89" t="str">
        <f t="shared" si="22"/>
        <v>SPLK</v>
      </c>
      <c r="C89" t="str">
        <f t="shared" si="23"/>
        <v>SPLUNK INC.</v>
      </c>
      <c r="D89" t="str">
        <f t="shared" si="24"/>
        <v>Splunk Inc. (Splunk) is engaged in the development and marketing of software solutions. The Company's offerings enable users to collect, index, search, explore, monitor and analyze data. Its offerings address diverse data sets that are referred to as big data and are specifically used for machine data. Machine data is produced by various software application and electronic devices in an organization and contains a definitive, time-stamped record of various activities, such as transactions, customer and user activities and security threats. Its products help users in various roles, including information technology (IT), security and business professionals, to analyze their machine data and achieve real-time visibility into and intelligence about their organization's operations. In addition, the Company offers user behavioral analytics to help detect, respond to and mitigate advanced, hidden and insider threats. The Company offers Splunk Enterprise, which is a machine data platform.</v>
      </c>
      <c r="E89" t="str">
        <f t="shared" si="25"/>
        <v>Software &amp; IT Services</v>
      </c>
      <c r="F89" s="1">
        <f t="shared" si="26"/>
        <v>119.69</v>
      </c>
      <c r="G89" s="1">
        <f t="shared" si="27"/>
        <v>121.325</v>
      </c>
      <c r="H89" s="1">
        <f t="shared" si="28"/>
        <v>118.6</v>
      </c>
      <c r="I89" s="1">
        <f t="shared" si="29"/>
        <v>118.875</v>
      </c>
      <c r="J89" s="1">
        <f t="shared" si="30"/>
        <v>118.05</v>
      </c>
      <c r="K89" s="2">
        <f t="shared" si="31"/>
        <v>19617514163</v>
      </c>
      <c r="L89" s="5">
        <f t="shared" si="32"/>
        <v>1.3892E-2</v>
      </c>
      <c r="M89" s="6" cm="1">
        <f t="array" ref="M89">_FV(A89,"Beta")</f>
        <v>1.2399</v>
      </c>
      <c r="N89" s="7" cm="1">
        <f t="array" ref="N89">_FV(A89,"Volume")</f>
        <v>10599</v>
      </c>
      <c r="O89" t="e" cm="1" vm="17">
        <f t="array" ref="O89">_FV(A89,"P/E",TRUE)</f>
        <v>#VALUE!</v>
      </c>
      <c r="P89" s="7" cm="1">
        <f t="array" ref="P89">_FV(A89,"Employees")</f>
        <v>6500</v>
      </c>
      <c r="Q89" t="str" cm="1">
        <f t="array" ref="Q89">_FV(A89,"Exchange")</f>
        <v>Nasdaq Stock Market</v>
      </c>
    </row>
    <row r="90" spans="1:17" x14ac:dyDescent="0.25">
      <c r="A90" t="e" vm="91">
        <v>#VALUE!</v>
      </c>
      <c r="B90" t="str">
        <f t="shared" si="22"/>
        <v>SBUX</v>
      </c>
      <c r="C90" t="str">
        <f t="shared" si="23"/>
        <v>STARBUCKS CORPORATION</v>
      </c>
      <c r="D90" t="str">
        <f t="shared" si="24"/>
        <v>Starbucks Corp is a coffee roaster and retailer of specialty coffee with operations in approximately 82 markets around the world. The Company has over 32,000 Company-operated and licensed stores. It operates through three segments: Americas, International and Channel Development. It also sells a variety of coffee and tea products and license its trademarks through other channels, such as licensed stores, grocery and foodservice. It purchases and roasts coffees that it sells, along with handcrafted coffee, tea and other beverages and a variety of food items through Company-operated stores. In addition to its flagship Starbucks Coffee brand, it sells goods and services under various brands, including Teavana, Seattle’s Best Coffee, Evolution Fresh, Ethos, Starbucks Reserve and Princi.</v>
      </c>
      <c r="E90" t="str">
        <f t="shared" si="25"/>
        <v>Hotels &amp; Entertainment Services</v>
      </c>
      <c r="F90" s="1">
        <f t="shared" si="26"/>
        <v>112.52</v>
      </c>
      <c r="G90" s="1">
        <f t="shared" si="27"/>
        <v>113.03</v>
      </c>
      <c r="H90" s="1">
        <f t="shared" si="28"/>
        <v>111.52</v>
      </c>
      <c r="I90" s="1">
        <f t="shared" si="29"/>
        <v>111.798</v>
      </c>
      <c r="J90" s="1">
        <f t="shared" si="30"/>
        <v>110.92</v>
      </c>
      <c r="K90" s="2">
        <f t="shared" si="31"/>
        <v>132582316000</v>
      </c>
      <c r="L90" s="5">
        <f t="shared" si="32"/>
        <v>1.4424999999999999E-2</v>
      </c>
      <c r="M90" s="6" cm="1">
        <f t="array" ref="M90">_FV(A90,"Beta")</f>
        <v>0.87660000000000005</v>
      </c>
      <c r="N90" s="7" cm="1">
        <f t="array" ref="N90">_FV(A90,"Volume")</f>
        <v>6062</v>
      </c>
      <c r="O90" s="6" cm="1">
        <f t="array" ref="O90">_FV(A90,"P/E",TRUE)</f>
        <v>134.7706</v>
      </c>
      <c r="P90" s="7" cm="1">
        <f t="array" ref="P90">_FV(A90,"Employees")</f>
        <v>349000</v>
      </c>
      <c r="Q90" t="str" cm="1">
        <f t="array" ref="Q90">_FV(A90,"Exchange")</f>
        <v>Nasdaq Stock Market</v>
      </c>
    </row>
    <row r="91" spans="1:17" x14ac:dyDescent="0.25">
      <c r="A91" t="e" vm="92">
        <v>#VALUE!</v>
      </c>
      <c r="B91" t="str">
        <f t="shared" si="22"/>
        <v>SNPS</v>
      </c>
      <c r="C91" t="str">
        <f t="shared" si="23"/>
        <v>SYNOPSYS, INC.</v>
      </c>
      <c r="D91" t="str">
        <f t="shared" si="24"/>
        <v>Synopsys, Inc. provides software products and services. The Company supplies the electronic design automation (EDA) software that engineers use to design and test integrated circuits (ICs), also known as chips. The Company also offer semiconductor intellectual property (IP) products, which are pre-designed circuits that engineers use as components of chip designs rather than designing those circuits themselves. It provides software and hardware used to develop the electronic systems that incorporate chips and the software that runs on them. It provides technical services and support to help its customers develop advanced chips and electronic systems. It is also a provider of software tools and services electronics, financial services, automotive, medicine, energy and industrials.</v>
      </c>
      <c r="E91" t="str">
        <f t="shared" si="25"/>
        <v>Software &amp; IT Services</v>
      </c>
      <c r="F91" s="1">
        <f t="shared" si="26"/>
        <v>248.58</v>
      </c>
      <c r="G91" s="1">
        <f t="shared" si="27"/>
        <v>249.58</v>
      </c>
      <c r="H91" s="1">
        <f t="shared" si="28"/>
        <v>244</v>
      </c>
      <c r="I91" s="1">
        <f t="shared" si="29"/>
        <v>245</v>
      </c>
      <c r="J91" s="1">
        <f t="shared" si="30"/>
        <v>242</v>
      </c>
      <c r="K91" s="2">
        <f t="shared" si="31"/>
        <v>36874300000</v>
      </c>
      <c r="L91" s="5">
        <f t="shared" si="32"/>
        <v>2.7189999999999999E-2</v>
      </c>
      <c r="M91" s="6" cm="1">
        <f t="array" ref="M91">_FV(A91,"Beta")</f>
        <v>1.0363</v>
      </c>
      <c r="N91" s="7" cm="1">
        <f t="array" ref="N91">_FV(A91,"Volume")</f>
        <v>709</v>
      </c>
      <c r="O91" s="6" cm="1">
        <f t="array" ref="O91">_FV(A91,"P/E",TRUE)</f>
        <v>48.281700000000001</v>
      </c>
      <c r="P91" s="7" cm="1">
        <f t="array" ref="P91">_FV(A91,"Employees")</f>
        <v>15036</v>
      </c>
      <c r="Q91" t="str" cm="1">
        <f t="array" ref="Q91">_FV(A91,"Exchange")</f>
        <v>Nasdaq Stock Market</v>
      </c>
    </row>
    <row r="92" spans="1:17" x14ac:dyDescent="0.25">
      <c r="A92" t="e" vm="93">
        <v>#VALUE!</v>
      </c>
      <c r="B92" t="str">
        <f t="shared" si="22"/>
        <v>TMUS</v>
      </c>
      <c r="C92" t="str">
        <f t="shared" si="23"/>
        <v>T-MOBILE US, INC.</v>
      </c>
      <c r="D92" t="str">
        <f t="shared" si="24"/>
        <v>T-Mobile US, Inc. is a wireless company. The Company provide wireless services to postpaid, prepaid and wholesale customers and generate revenue by providing affordable wireless communications services to these customers, as well as a wide selection of wireless devices and accessories. It provides service, devices and accessories across its flagship brands, T-Mobile, Metro by T-Mobile and Sprint, through its owned and operated retail stores, as well as through its websites, T-Mobile app and customer care channels. In addition, the Company sells devices to dealers and other third-party distributors for resale through independent third-party retail outlets and a variety of third-party websites.</v>
      </c>
      <c r="E92" t="str">
        <f t="shared" si="25"/>
        <v>Telecommunications Services</v>
      </c>
      <c r="F92" s="1">
        <f t="shared" si="26"/>
        <v>137.72999999999999</v>
      </c>
      <c r="G92" s="1">
        <f t="shared" si="27"/>
        <v>138.41</v>
      </c>
      <c r="H92" s="1">
        <f t="shared" si="28"/>
        <v>136.19450000000001</v>
      </c>
      <c r="I92" s="1">
        <f t="shared" si="29"/>
        <v>136.6</v>
      </c>
      <c r="J92" s="1">
        <f t="shared" si="30"/>
        <v>136.05000000000001</v>
      </c>
      <c r="K92" s="2">
        <f t="shared" si="31"/>
        <v>171729752340</v>
      </c>
      <c r="L92" s="5">
        <f t="shared" si="32"/>
        <v>1.2348E-2</v>
      </c>
      <c r="M92" s="6" cm="1">
        <f t="array" ref="M92">_FV(A92,"Beta")</f>
        <v>0.5736</v>
      </c>
      <c r="N92" s="7" cm="1">
        <f t="array" ref="N92">_FV(A92,"Volume")</f>
        <v>2348</v>
      </c>
      <c r="O92" s="6" cm="1">
        <f t="array" ref="O92">_FV(A92,"P/E",TRUE)</f>
        <v>63.292400000000001</v>
      </c>
      <c r="P92" s="7" cm="1">
        <f t="array" ref="P92">_FV(A92,"Employees")</f>
        <v>75000</v>
      </c>
      <c r="Q92" t="str" cm="1">
        <f t="array" ref="Q92">_FV(A92,"Exchange")</f>
        <v>Nasdaq Stock Market</v>
      </c>
    </row>
    <row r="93" spans="1:17" x14ac:dyDescent="0.25">
      <c r="A93" t="e" vm="94">
        <v>#VALUE!</v>
      </c>
      <c r="B93" t="str">
        <f t="shared" si="22"/>
        <v>TSLA</v>
      </c>
      <c r="C93" t="str">
        <f t="shared" si="23"/>
        <v>TESLA, INC.</v>
      </c>
      <c r="D93" t="str">
        <f t="shared" si="24"/>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c>
      <c r="E93" t="str">
        <f t="shared" si="25"/>
        <v>Automobiles &amp; Auto Parts</v>
      </c>
      <c r="F93" s="1">
        <f t="shared" si="26"/>
        <v>606.44000000000005</v>
      </c>
      <c r="G93" s="1">
        <f t="shared" si="27"/>
        <v>614.48</v>
      </c>
      <c r="H93" s="1">
        <f t="shared" si="28"/>
        <v>573.65</v>
      </c>
      <c r="I93" s="1">
        <f t="shared" si="29"/>
        <v>581.6</v>
      </c>
      <c r="J93" s="1">
        <f t="shared" si="30"/>
        <v>580.88</v>
      </c>
      <c r="K93" s="2">
        <f t="shared" si="31"/>
        <v>584202087776</v>
      </c>
      <c r="L93" s="5">
        <f t="shared" si="32"/>
        <v>4.4001999999999999E-2</v>
      </c>
      <c r="M93" s="6" cm="1">
        <f t="array" ref="M93">_FV(A93,"Beta")</f>
        <v>1.9998</v>
      </c>
      <c r="N93" s="7" cm="1">
        <f t="array" ref="N93">_FV(A93,"Volume")</f>
        <v>415703</v>
      </c>
      <c r="O93" s="6" cm="1">
        <f t="array" ref="O93">_FV(A93,"P/E",TRUE)</f>
        <v>611.13099999999997</v>
      </c>
      <c r="P93" s="7" cm="1">
        <f t="array" ref="P93">_FV(A93,"Employees")</f>
        <v>70757</v>
      </c>
      <c r="Q93" t="str" cm="1">
        <f t="array" ref="Q93">_FV(A93,"Exchange")</f>
        <v>Nasdaq Stock Market</v>
      </c>
    </row>
    <row r="94" spans="1:17" x14ac:dyDescent="0.25">
      <c r="A94" t="e" vm="95">
        <v>#VALUE!</v>
      </c>
      <c r="B94" t="str">
        <f t="shared" si="22"/>
        <v>TXN</v>
      </c>
      <c r="C94" t="str">
        <f t="shared" si="23"/>
        <v>TEXAS INSTRUMENTS INCORPORATED</v>
      </c>
      <c r="D94" t="str">
        <f t="shared" si="24"/>
        <v>Texas Instruments Incorporated designs, makes and sells semiconductors to electronics designers and manufacturers across the world. The Company operates through two segments: Analog and Embedded Processing. As of December 31, 2016, the Company had design, manufacturing or sales operations in more than 30 countries. The Company's Analog segment's product line includes High Volume Analog &amp; Logic (HVAL), Power Management (Power), High Performance Analog (HPA) and Silicon Valley Analog (SVA). HVAL products support applications, such as automotive safety devices, touchscreen controllers, low-voltage motor drivers and integrated motor controllers. The Company's Embedded Processing segment's product line includes Processor, Microcontrollers and Connectivity. Processor products include digital signal processors (DSPs) and applications processors. DSPs perform mathematical computations to process digital data.</v>
      </c>
      <c r="E94" t="str">
        <f t="shared" si="25"/>
        <v>Semiconductors &amp; Semiconductor Equipment</v>
      </c>
      <c r="F94" s="1">
        <f t="shared" si="26"/>
        <v>188.69</v>
      </c>
      <c r="G94" s="1">
        <f t="shared" si="27"/>
        <v>189.35</v>
      </c>
      <c r="H94" s="1">
        <f t="shared" si="28"/>
        <v>186.45169999999999</v>
      </c>
      <c r="I94" s="1">
        <f t="shared" si="29"/>
        <v>186.45169999999999</v>
      </c>
      <c r="J94" s="1">
        <f t="shared" si="30"/>
        <v>185.01</v>
      </c>
      <c r="K94" s="2">
        <f t="shared" si="31"/>
        <v>174259649215</v>
      </c>
      <c r="L94" s="5">
        <f t="shared" si="32"/>
        <v>1.9891000000000002E-2</v>
      </c>
      <c r="M94" s="6" cm="1">
        <f t="array" ref="M94">_FV(A94,"Beta")</f>
        <v>1.0275000000000001</v>
      </c>
      <c r="N94" s="7" cm="1">
        <f t="array" ref="N94">_FV(A94,"Volume")</f>
        <v>2776</v>
      </c>
      <c r="O94" s="6" cm="1">
        <f t="array" ref="O94">_FV(A94,"P/E",TRUE)</f>
        <v>28.598600000000001</v>
      </c>
      <c r="P94" s="7" cm="1">
        <f t="array" ref="P94">_FV(A94,"Employees")</f>
        <v>30000</v>
      </c>
      <c r="Q94" t="str" cm="1">
        <f t="array" ref="Q94">_FV(A94,"Exchange")</f>
        <v>Nasdaq Stock Market</v>
      </c>
    </row>
    <row r="95" spans="1:17" x14ac:dyDescent="0.25">
      <c r="A95" t="e" vm="96">
        <v>#VALUE!</v>
      </c>
      <c r="B95" t="str">
        <f t="shared" si="22"/>
        <v>TCOM</v>
      </c>
      <c r="C95" t="str">
        <f t="shared" si="23"/>
        <v>Trip.com Group Limited</v>
      </c>
      <c r="D95" t="str">
        <f t="shared" si="24"/>
        <v>Trip.com Group Limited, formerly Ctrip.com International, Ltd., is a travel service provider in China that provides accommodation booking, transportation ticketing, package tours and corporate travel management. The Company aggregates hotel and transportation information to help leisure and business travelers make reservations. The Company helps leisure travelers book travel packages and guided tours and helps corporate clients manage their travel needs. The Company also offers a range of travel-related services to meet the different booking and travel needs of leisure and business travelers, including visitor reviews, attraction tickets, travel-related financial services, car services, travel insurance services and passport services. The Company also offers package tours for independent leisure travelers, including tour groups, semi-tour groups and private groups, as well as package tours that require different transportation arrangements (such as cruise, buses or self-driving).</v>
      </c>
      <c r="E95" t="str">
        <f t="shared" si="25"/>
        <v>Hotels &amp; Entertainment Services</v>
      </c>
      <c r="F95" s="1">
        <f t="shared" si="26"/>
        <v>39.340000000000003</v>
      </c>
      <c r="G95" s="1">
        <f t="shared" si="27"/>
        <v>40.159999999999997</v>
      </c>
      <c r="H95" s="1">
        <f t="shared" si="28"/>
        <v>39.06</v>
      </c>
      <c r="I95" s="1">
        <f t="shared" si="29"/>
        <v>40.1</v>
      </c>
      <c r="J95" s="1">
        <f t="shared" si="30"/>
        <v>39.770000000000003</v>
      </c>
      <c r="K95" s="4">
        <f t="shared" si="31"/>
        <v>51531830000</v>
      </c>
      <c r="L95" s="5">
        <f t="shared" si="32"/>
        <v>-1.0811999999999999E-2</v>
      </c>
      <c r="M95" s="6" cm="1">
        <f t="array" ref="M95">_FV(A95,"Beta")</f>
        <v>1.3210999999999999</v>
      </c>
      <c r="N95" s="7" cm="1">
        <f t="array" ref="N95">_FV(A95,"Volume")</f>
        <v>23453</v>
      </c>
      <c r="O95" cm="1">
        <f t="array" ref="O95">_FV(A95,"P/E",TRUE)</f>
        <v>41.325800000000001</v>
      </c>
      <c r="P95" s="7" cm="1">
        <f t="array" ref="P95">_FV(A95,"Employees")</f>
        <v>33400</v>
      </c>
      <c r="Q95" t="str" cm="1">
        <f t="array" ref="Q95">_FV(A95,"Exchange")</f>
        <v>Nasdaq Stock Market</v>
      </c>
    </row>
    <row r="96" spans="1:17" x14ac:dyDescent="0.25">
      <c r="A96" t="e" vm="97">
        <v>#VALUE!</v>
      </c>
      <c r="B96" t="str">
        <f t="shared" si="22"/>
        <v>VRSN</v>
      </c>
      <c r="C96" t="str">
        <f t="shared" si="23"/>
        <v>VERISIGN, INC.</v>
      </c>
      <c r="D96" t="str">
        <f t="shared" si="24"/>
        <v>VeriSign, Inc. is a global provider of domain name registry services and Internet infrastructure. The Company enables the security, stability, and resiliency of key Internet infrastructure and services, including providing root zone maintainer services, operating two global Internet root servers, and providing registration services and authoritative resolution for the .com and .net top-level domains (TLDs), which supports the majority of global electronic-commerce. It operates the authoritative directory and the back-end systems for all .com, .net, .cc, .tv, .gov, .jobs, .edu and .name domain names, among others. The Company's services allow individuals and organizations to establish their online identities, while providing the secure, always-on access they need to communicate and transact reliably with online audiences. It also provides internationalized domain name (IDN) services that enable Internet users to access domain names in characters representing their local language.</v>
      </c>
      <c r="E96" t="str">
        <f t="shared" si="25"/>
        <v>Software &amp; IT Services</v>
      </c>
      <c r="F96" s="1">
        <f t="shared" si="26"/>
        <v>224.5</v>
      </c>
      <c r="G96" s="1">
        <f t="shared" si="27"/>
        <v>226.14</v>
      </c>
      <c r="H96" s="1">
        <f t="shared" si="28"/>
        <v>222.58</v>
      </c>
      <c r="I96" s="1">
        <f t="shared" si="29"/>
        <v>223.31</v>
      </c>
      <c r="J96" s="1">
        <f t="shared" si="30"/>
        <v>221.39</v>
      </c>
      <c r="K96" s="2">
        <f t="shared" si="31"/>
        <v>25282920600</v>
      </c>
      <c r="L96" s="5">
        <f t="shared" si="32"/>
        <v>1.4048E-2</v>
      </c>
      <c r="M96" s="6" cm="1">
        <f t="array" ref="M96">_FV(A96,"Beta")</f>
        <v>0.81369999999999998</v>
      </c>
      <c r="N96" s="7" cm="1">
        <f t="array" ref="N96">_FV(A96,"Volume")</f>
        <v>23</v>
      </c>
      <c r="O96" s="6" cm="1">
        <f t="array" ref="O96">_FV(A96,"P/E",TRUE)</f>
        <v>40.710799999999999</v>
      </c>
      <c r="P96" s="7" cm="1">
        <f t="array" ref="P96">_FV(A96,"Employees")</f>
        <v>907</v>
      </c>
      <c r="Q96" t="str" cm="1">
        <f t="array" ref="Q96">_FV(A96,"Exchange")</f>
        <v>Nasdaq Stock Market</v>
      </c>
    </row>
    <row r="97" spans="1:17" x14ac:dyDescent="0.25">
      <c r="A97" t="e" vm="98">
        <v>#VALUE!</v>
      </c>
      <c r="B97" t="str">
        <f t="shared" si="22"/>
        <v>VRSK</v>
      </c>
      <c r="C97" t="str">
        <f t="shared" si="23"/>
        <v>VERISK ANALYTICS, INC.</v>
      </c>
      <c r="D97" t="str">
        <f t="shared" si="24"/>
        <v>Verisk Analytics, Inc. is a data analytics provider serving customers in insurance, natural resources and financial services. The Company operates through two segments: Risk Assessment and Decision Analytics. Its Risk Assessment segment serves its property and casualty insurance customers and focuses on prediction of loss, selection and pricing of risk, and compliance with their reporting requirements in each United States state in which they operate. In the Decision Analytics segment, the Company develops predictive models to forecast scenarios and produce both standard and customized analytics that help its customers manage their businesses, including predicting loss, selecting and pricing risk, detecting fraud before and after a loss event, and quantifying losses. It offers predictive analytics and decision support solutions to customers in rating, underwriting, claims, catastrophe and weather risk, natural resources intelligence, economic forecasting and various other fields.</v>
      </c>
      <c r="E97" t="str">
        <f t="shared" si="25"/>
        <v>Software &amp; IT Services</v>
      </c>
      <c r="F97" s="1">
        <f t="shared" si="26"/>
        <v>174.17</v>
      </c>
      <c r="G97" s="1">
        <f t="shared" si="27"/>
        <v>175.20500000000001</v>
      </c>
      <c r="H97" s="1">
        <f t="shared" si="28"/>
        <v>173.02</v>
      </c>
      <c r="I97" s="1">
        <f t="shared" si="29"/>
        <v>174.9</v>
      </c>
      <c r="J97" s="1">
        <f t="shared" si="30"/>
        <v>173.51</v>
      </c>
      <c r="K97" s="2">
        <f t="shared" si="31"/>
        <v>28231424303</v>
      </c>
      <c r="L97" s="5">
        <f t="shared" si="32"/>
        <v>3.8040000000000001E-3</v>
      </c>
      <c r="M97" s="6" cm="1">
        <f t="array" ref="M97">_FV(A97,"Beta")</f>
        <v>0.78169999999999995</v>
      </c>
      <c r="N97" s="7" cm="1">
        <f t="array" ref="N97">_FV(A97,"Volume")</f>
        <v>9</v>
      </c>
      <c r="O97" s="6" cm="1">
        <f t="array" ref="O97">_FV(A97,"P/E",TRUE)</f>
        <v>40.502299999999998</v>
      </c>
      <c r="P97" s="7" cm="1">
        <f t="array" ref="P97">_FV(A97,"Employees")</f>
        <v>8960</v>
      </c>
      <c r="Q97" t="str" cm="1">
        <f t="array" ref="Q97">_FV(A97,"Exchange")</f>
        <v>Nasdaq Stock Market</v>
      </c>
    </row>
    <row r="98" spans="1:17" x14ac:dyDescent="0.25">
      <c r="A98" t="e" vm="99">
        <v>#VALUE!</v>
      </c>
      <c r="B98" t="str">
        <f t="shared" ref="B98:B103" si="33">_FV(A98,"Ticker symbol",TRUE)</f>
        <v>VRTX</v>
      </c>
      <c r="C98" t="str">
        <f t="shared" ref="C98:C103" si="34">_FV(A98,"Name")</f>
        <v>VERTEX PHARMACEUTICALS INCORPORATED</v>
      </c>
      <c r="D98" t="str">
        <f t="shared" ref="D98:D103" si="35">_FV(A98,"Description")</f>
        <v>Vertex Pharmaceuticals Incorporated is engaged in discovering, developing, manufacturing and commercializing medicines for serious diseases. The Company is focused on developing and commercializing therapies for the treatment of cystic fibrosis (CF) and advancing its research and development programs in other indications. The Company's marketed medicines are ORKAMBI and KALYDECO. ORKAMBI (lumacaftor in combination with ivacaftor) is approved as a treatment for patients having two copies (homozygous) of the Delta-F508 (F508del) mutation in their cystic fibrosis transmembrane conductance regulator (CFTR) gene. KALYDECO (ivacaftor) is approved for the treatment of CF patients having the G551D mutation or other specified mutations in their CFTR gene. The Company's development programs in the field of CF include Tezacaftor (VX-661), VX-152, VX-440, VX-659, VX-445 and VX-371. VX-152, VX-440, VX-659 and VX-445 are CFTR corrector compounds.</v>
      </c>
      <c r="E98" t="str">
        <f t="shared" ref="E98:E103" si="36">_FV(A98,"Industry")</f>
        <v>Biotechnology &amp; Medical Research</v>
      </c>
      <c r="F98" s="1">
        <f t="shared" ref="F98:F103" si="37">_FV(A98,"Price")</f>
        <v>211.22</v>
      </c>
      <c r="G98" s="1">
        <f t="shared" ref="G98:G103" si="38">_FV(A98,"High")</f>
        <v>215.69499999999999</v>
      </c>
      <c r="H98" s="1">
        <f t="shared" ref="H98:H103" si="39">_FV(A98,"Low")</f>
        <v>210.99</v>
      </c>
      <c r="I98" s="1">
        <f t="shared" ref="I98:I103" si="40">_FV(A98,"Open")</f>
        <v>215.02</v>
      </c>
      <c r="J98" s="1">
        <f t="shared" ref="J98:J103" si="41">_FV(A98,"Previous close",TRUE)</f>
        <v>213.43</v>
      </c>
      <c r="K98" s="2">
        <f t="shared" ref="K98:K103" si="42">_FV(A98,"Market cap",TRUE)</f>
        <v>54677613154</v>
      </c>
      <c r="L98" s="5">
        <f t="shared" ref="L98:L103" si="43">_FV(A98,"Change (%)",TRUE)</f>
        <v>-1.0355000000000001E-2</v>
      </c>
      <c r="M98" s="6" cm="1">
        <f t="array" ref="M98">_FV(A98,"Beta")</f>
        <v>0.67369999999999997</v>
      </c>
      <c r="N98" s="7" cm="1">
        <f t="array" ref="N98">_FV(A98,"Volume")</f>
        <v>6077</v>
      </c>
      <c r="O98" s="6" cm="1">
        <f t="array" ref="O98">_FV(A98,"P/E",TRUE)</f>
        <v>20.096399999999999</v>
      </c>
      <c r="P98" s="7" cm="1">
        <f t="array" ref="P98">_FV(A98,"Employees")</f>
        <v>3400</v>
      </c>
      <c r="Q98" t="str" cm="1">
        <f t="array" ref="Q98">_FV(A98,"Exchange")</f>
        <v>Nasdaq Stock Market</v>
      </c>
    </row>
    <row r="99" spans="1:17" x14ac:dyDescent="0.25">
      <c r="A99" t="e" vm="100">
        <v>#VALUE!</v>
      </c>
      <c r="B99" t="str">
        <f t="shared" si="33"/>
        <v>WBA</v>
      </c>
      <c r="C99" t="str">
        <f t="shared" si="34"/>
        <v>WALGREENS BOOTS ALLIANCE, INC.</v>
      </c>
      <c r="D99" t="str">
        <f t="shared" si="35"/>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c>
      <c r="E99" t="str">
        <f t="shared" si="36"/>
        <v>Food &amp; Drug Retailing</v>
      </c>
      <c r="F99" s="1">
        <f t="shared" si="37"/>
        <v>54.83</v>
      </c>
      <c r="G99" s="1">
        <f t="shared" si="38"/>
        <v>55.32</v>
      </c>
      <c r="H99" s="1">
        <f t="shared" si="39"/>
        <v>54.761600000000001</v>
      </c>
      <c r="I99" s="1">
        <f t="shared" si="40"/>
        <v>54.97</v>
      </c>
      <c r="J99" s="1">
        <f t="shared" si="41"/>
        <v>54.88</v>
      </c>
      <c r="K99" s="2">
        <f t="shared" si="42"/>
        <v>47394744952</v>
      </c>
      <c r="L99" s="5">
        <f t="shared" si="43"/>
        <v>-9.1109999999999997E-4</v>
      </c>
      <c r="M99" s="6" cm="1">
        <f t="array" ref="M99">_FV(A99,"Beta")</f>
        <v>0.45279999999999998</v>
      </c>
      <c r="N99" s="7" cm="1">
        <f t="array" ref="N99">_FV(A99,"Volume")</f>
        <v>5651</v>
      </c>
      <c r="O99" s="6" cm="1">
        <f t="array" ref="O99">_FV(A99,"P/E",TRUE)</f>
        <v>87.096400000000003</v>
      </c>
      <c r="P99" s="7" cm="1">
        <f t="array" ref="P99">_FV(A99,"Employees")</f>
        <v>223000</v>
      </c>
      <c r="Q99" t="str" cm="1">
        <f t="array" ref="Q99">_FV(A99,"Exchange")</f>
        <v>Nasdaq Stock Market</v>
      </c>
    </row>
    <row r="100" spans="1:17" x14ac:dyDescent="0.25">
      <c r="A100" t="e" vm="101">
        <v>#VALUE!</v>
      </c>
      <c r="B100" t="str">
        <f t="shared" si="33"/>
        <v>WDAY</v>
      </c>
      <c r="C100" t="str">
        <f t="shared" si="34"/>
        <v>WORKDAY, INC.</v>
      </c>
      <c r="D100" t="str">
        <f t="shared" si="35"/>
        <v>Workday, Inc. is a provider of enterprise cloud applications for finance and human resources. The Company delivers financial management, human capital management and analytics applications designed for various companies, educational institutions and government agencies. As part of its applications, the Company provides embedded analytics that capture the content and context of everyday business events, facilitating informed decision-making from wherever users are working. Its applications include Workday Financial Management, Workday Human Capital Management (HCM) and Other Applications. It also provides open, standards-based Web-services application programming interfaces, and pre-built packaged integrations and connectors. Workday Financial Management is a unified application with a range of financial capabilities, relevant analytics and metrics, and auditable process management. Workday HCM allows an organization to staff, pay, organize and develop its global workforce.</v>
      </c>
      <c r="E100" t="str">
        <f t="shared" si="36"/>
        <v>Software &amp; IT Services</v>
      </c>
      <c r="F100" s="1">
        <f t="shared" si="37"/>
        <v>234</v>
      </c>
      <c r="G100" s="1">
        <f t="shared" si="38"/>
        <v>237</v>
      </c>
      <c r="H100" s="1">
        <f t="shared" si="39"/>
        <v>233.24</v>
      </c>
      <c r="I100" s="1">
        <f t="shared" si="40"/>
        <v>235.63</v>
      </c>
      <c r="J100" s="1">
        <f t="shared" si="41"/>
        <v>231.42</v>
      </c>
      <c r="K100" s="2">
        <f t="shared" si="42"/>
        <v>57082053600</v>
      </c>
      <c r="L100" s="5">
        <f t="shared" si="43"/>
        <v>1.1148999999999999E-2</v>
      </c>
      <c r="M100" s="6" cm="1">
        <f t="array" ref="M100">_FV(A100,"Beta")</f>
        <v>1.2776000000000001</v>
      </c>
      <c r="N100" s="7" cm="1">
        <f t="array" ref="N100">_FV(A100,"Volume")</f>
        <v>266</v>
      </c>
      <c r="O100" t="e" cm="1" vm="17">
        <f t="array" ref="O100">_FV(A100,"P/E",TRUE)</f>
        <v>#VALUE!</v>
      </c>
      <c r="P100" s="7" cm="1">
        <f t="array" ref="P100">_FV(A100,"Employees")</f>
        <v>12500</v>
      </c>
      <c r="Q100" t="str" cm="1">
        <f t="array" ref="Q100">_FV(A100,"Exchange")</f>
        <v>Nasdaq Stock Market</v>
      </c>
    </row>
    <row r="101" spans="1:17" x14ac:dyDescent="0.25">
      <c r="A101" t="e" vm="102">
        <v>#VALUE!</v>
      </c>
      <c r="B101" t="str">
        <f t="shared" si="33"/>
        <v>XEL</v>
      </c>
      <c r="C101" t="str">
        <f t="shared" si="34"/>
        <v>Xcel Energy Inc.</v>
      </c>
      <c r="D101" t="str">
        <f t="shared" si="35"/>
        <v>Xcel Energy Inc. is a public utility holding company. The Company's operations include the activity of four utility subsidiaries that serve electric and natural gas customers in eight states. The Company's segments include regulated electric utility, regulated natural gas utility and all other. The Company's utility subsidiaries include NSP-Minnesota, NSP-Wisconsin, Public Service Company of Colorado (PSCo) and Southwestern Public Service Co. (SPS), which serve customers in portions of Colorado, Michigan, Minnesota, New Mexico, North Dakota, South Dakota, Texas and Wisconsin. Along with WYCO Development LLC (WYCO), a joint venture formed with Colorado Interstate Gas Company, LLC (CIG) to develop and lease natural gas pipelines storage and compression facilities, and WestGas InterState, Inc. (WGI), an interstate natural gas pipeline company, these companies comprise the regulated utility operations.</v>
      </c>
      <c r="E101" t="str">
        <f t="shared" si="36"/>
        <v>Electrical Utilities &amp; IPPs</v>
      </c>
      <c r="F101" s="1">
        <f t="shared" si="37"/>
        <v>71.67</v>
      </c>
      <c r="G101" s="1">
        <f t="shared" si="38"/>
        <v>72.56</v>
      </c>
      <c r="H101" s="1">
        <f t="shared" si="39"/>
        <v>71.61</v>
      </c>
      <c r="I101" s="1">
        <f t="shared" si="40"/>
        <v>72.53</v>
      </c>
      <c r="J101" s="1">
        <f t="shared" si="41"/>
        <v>72.040000000000006</v>
      </c>
      <c r="K101" s="2">
        <f t="shared" si="42"/>
        <v>38573281356</v>
      </c>
      <c r="L101" s="5">
        <f t="shared" si="43"/>
        <v>-5.1359999999999991E-3</v>
      </c>
      <c r="M101" s="6" cm="1">
        <f t="array" ref="M101">_FV(A101,"Beta")</f>
        <v>0.30149999999999999</v>
      </c>
      <c r="N101" s="7" cm="1">
        <f t="array" ref="N101">_FV(A101,"Volume")</f>
        <v>101</v>
      </c>
      <c r="O101" s="6" cm="1">
        <f t="array" ref="O101">_FV(A101,"P/E",TRUE)</f>
        <v>24.708500000000001</v>
      </c>
      <c r="P101" s="7" cm="1">
        <f t="array" ref="P101">_FV(A101,"Employees")</f>
        <v>11367</v>
      </c>
      <c r="Q101" t="str" cm="1">
        <f t="array" ref="Q101">_FV(A101,"Exchange")</f>
        <v>Nasdaq Stock Market</v>
      </c>
    </row>
    <row r="102" spans="1:17" x14ac:dyDescent="0.25">
      <c r="A102" t="e" vm="103">
        <v>#VALUE!</v>
      </c>
      <c r="B102" t="str">
        <f t="shared" si="33"/>
        <v>XLNX</v>
      </c>
      <c r="C102" t="str">
        <f t="shared" si="34"/>
        <v>XILINX, INC.</v>
      </c>
      <c r="D102" t="str">
        <f t="shared" si="35"/>
        <v>Xilinx, Inc. (Xilinx) is engaged in designing and developing programmable devices and associated technologies. The Company's programmable devices and associated technologies include integrated circuits (ICs) in the form of programmable logic devices (PLDs), including programmable System on Chips (SoCs) and three-dimensional ICs (3D ICs); software design tools to program the PLDs; targeted reference designs; printed circuit boards, and intellectual property (IP), which consists of Xilinx, and various third-party verification and IP cores. The Company provides design services, customer training, field engineering and technical support. Its PLDs include field programmable gate arrays (FPGAs), complex programmable logic devices (CPLDs) that its customers program to perform desired logic functions, and programmable SoCs, which combine (Advanced reduced instruction set computing (RISC) Machines (ARM)) processor-based systems with programmable logic in a single device.</v>
      </c>
      <c r="E102" t="str">
        <f t="shared" si="36"/>
        <v>Semiconductors &amp; Semiconductor Equipment</v>
      </c>
      <c r="F102" s="1">
        <f t="shared" si="37"/>
        <v>123.77</v>
      </c>
      <c r="G102" s="1">
        <f t="shared" si="38"/>
        <v>124.4</v>
      </c>
      <c r="H102" s="1">
        <f t="shared" si="39"/>
        <v>122.72</v>
      </c>
      <c r="I102" s="1">
        <f t="shared" si="40"/>
        <v>123.9</v>
      </c>
      <c r="J102" s="1">
        <f t="shared" si="41"/>
        <v>122.81</v>
      </c>
      <c r="K102" s="2">
        <f t="shared" si="42"/>
        <v>30427616800</v>
      </c>
      <c r="L102" s="5">
        <f t="shared" si="43"/>
        <v>7.8169999999999993E-3</v>
      </c>
      <c r="M102" s="6" cm="1">
        <f t="array" ref="M102">_FV(A102,"Beta")</f>
        <v>1.0087999999999999</v>
      </c>
      <c r="N102" s="7" cm="1">
        <f t="array" ref="N102">_FV(A102,"Volume")</f>
        <v>1590</v>
      </c>
      <c r="O102" s="6" cm="1">
        <f t="array" ref="O102">_FV(A102,"P/E",TRUE)</f>
        <v>47.330399999999997</v>
      </c>
      <c r="P102" s="7" cm="1">
        <f t="array" ref="P102">_FV(A102,"Employees")</f>
        <v>4890</v>
      </c>
      <c r="Q102" t="str" cm="1">
        <f t="array" ref="Q102">_FV(A102,"Exchange")</f>
        <v>Nasdaq Stock Market</v>
      </c>
    </row>
    <row r="103" spans="1:17" x14ac:dyDescent="0.25">
      <c r="A103" t="e" vm="104">
        <v>#VALUE!</v>
      </c>
      <c r="B103" t="str">
        <f t="shared" si="33"/>
        <v>ZM</v>
      </c>
      <c r="C103" t="str">
        <f t="shared" si="34"/>
        <v>ZOOM VIDEO COMMUNICATIONS, INC.</v>
      </c>
      <c r="D103" t="str">
        <f t="shared" si="35"/>
        <v>Zoom Video Communications, Inc. is a provider of video-first communication platform and Web conferencing services. It offers cloud-native platform, which unifies cloud video conferencing, online meetings, group messaging and a software-based conference room system, which enables users to easily experience Zoom Meetings in their physical meeting spaces. Its solution offers video, audio and screen-sharing experience across Windows, Mac, Linux, Android, BlackBerry, Zoom Rooms and H.323/Session Initiation Protocol room systems, such as Polycom and Cisco Tandberg. Its solutions include Meetings, Premium Audio, Business Instant Messaging (IM), Video Webinar, Zoom Rooms, H.323/SIP Connector and Developer Platform. Its cloud video conferencing solutions include full screen and gallery view, and dual stream for dual screen. Its security solutions include secure socket layer (SSL) encryption and role-based access control. It offers its solutions to education, finance and government sectors.</v>
      </c>
      <c r="E103" t="str">
        <f t="shared" si="36"/>
        <v>Software &amp; IT Services</v>
      </c>
      <c r="F103" s="1">
        <f t="shared" si="37"/>
        <v>321.56</v>
      </c>
      <c r="G103" s="1">
        <f t="shared" si="38"/>
        <v>324.02999999999997</v>
      </c>
      <c r="H103" s="1">
        <f t="shared" si="39"/>
        <v>316.5</v>
      </c>
      <c r="I103" s="1">
        <f t="shared" si="40"/>
        <v>318.52</v>
      </c>
      <c r="J103" s="1">
        <f t="shared" si="41"/>
        <v>316.39999999999998</v>
      </c>
      <c r="K103" s="2">
        <f t="shared" si="42"/>
        <v>94686654068</v>
      </c>
      <c r="L103" s="5">
        <f t="shared" si="43"/>
        <v>1.6308E-2</v>
      </c>
      <c r="M103" t="e" cm="1" vm="38">
        <f t="array" ref="M103">_FV(A103,"Beta")</f>
        <v>#VALUE!</v>
      </c>
      <c r="N103" s="7" cm="1">
        <f t="array" ref="N103">_FV(A103,"Volume")</f>
        <v>2827</v>
      </c>
      <c r="O103" s="6" cm="1">
        <f t="array" ref="O103">_FV(A103,"P/E",TRUE)</f>
        <v>150.80709999999999</v>
      </c>
      <c r="P103" s="7" cm="1">
        <f t="array" ref="P103">_FV(A103,"Employees")</f>
        <v>4422</v>
      </c>
      <c r="Q103" t="str" cm="1">
        <f t="array" ref="Q103">_FV(A103,"Exchange")</f>
        <v>Nasdaq Stock Market</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Almogi</cp:lastModifiedBy>
  <dcterms:created xsi:type="dcterms:W3CDTF">2021-03-30T10:30:39Z</dcterms:created>
  <dcterms:modified xsi:type="dcterms:W3CDTF">2021-07-15T17:39:13Z</dcterms:modified>
</cp:coreProperties>
</file>